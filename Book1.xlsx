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laduke\Documents\Projects\Nomencraft\"/>
    </mc:Choice>
  </mc:AlternateContent>
  <xr:revisionPtr revIDLastSave="0" documentId="8_{113840BF-47FF-4E07-92F9-28AED51A9286}" xr6:coauthVersionLast="47" xr6:coauthVersionMax="47" xr10:uidLastSave="{00000000-0000-0000-0000-000000000000}"/>
  <bookViews>
    <workbookView xWindow="-120" yWindow="-120" windowWidth="29040" windowHeight="15720" xr2:uid="{F7575A49-6129-4470-946B-08B7BCDA51AC}"/>
  </bookViews>
  <sheets>
    <sheet name="dir" sheetId="2" r:id="rId1"/>
    <sheet name="Sheet1" sheetId="1" r:id="rId2"/>
  </sheets>
  <definedNames>
    <definedName name="ExternalData_1" localSheetId="0" hidden="1">dir!$A$1:$G$150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J2" i="2" s="1"/>
  <c r="J87" i="2"/>
  <c r="J88" i="2"/>
  <c r="J89" i="2"/>
  <c r="J90" i="2"/>
  <c r="J100" i="2"/>
  <c r="J101" i="2"/>
  <c r="J102" i="2"/>
  <c r="J113" i="2"/>
  <c r="J114" i="2"/>
  <c r="J123" i="2"/>
  <c r="J126" i="2"/>
  <c r="J147" i="2"/>
  <c r="J148" i="2"/>
  <c r="J149" i="2"/>
  <c r="J13" i="2"/>
  <c r="J27" i="2"/>
  <c r="J36" i="2"/>
  <c r="J37" i="2"/>
  <c r="J48" i="2"/>
  <c r="J49" i="2"/>
  <c r="I78" i="2"/>
  <c r="J78" i="2" s="1"/>
  <c r="I79" i="2"/>
  <c r="J79" i="2" s="1"/>
  <c r="I80" i="2"/>
  <c r="J80" i="2" s="1"/>
  <c r="I81" i="2"/>
  <c r="J81" i="2" s="1"/>
  <c r="I82" i="2"/>
  <c r="J82" i="2" s="1"/>
  <c r="I83" i="2"/>
  <c r="J83" i="2" s="1"/>
  <c r="I84" i="2"/>
  <c r="J84" i="2" s="1"/>
  <c r="I85" i="2"/>
  <c r="J85" i="2" s="1"/>
  <c r="I86" i="2"/>
  <c r="J86" i="2" s="1"/>
  <c r="I87" i="2"/>
  <c r="I88" i="2"/>
  <c r="I89" i="2"/>
  <c r="I90" i="2"/>
  <c r="I91" i="2"/>
  <c r="J91" i="2" s="1"/>
  <c r="I92" i="2"/>
  <c r="J92" i="2" s="1"/>
  <c r="I93" i="2"/>
  <c r="J93" i="2" s="1"/>
  <c r="I94" i="2"/>
  <c r="J94" i="2" s="1"/>
  <c r="I95" i="2"/>
  <c r="J95" i="2" s="1"/>
  <c r="I96" i="2"/>
  <c r="J96" i="2" s="1"/>
  <c r="I97" i="2"/>
  <c r="J97" i="2" s="1"/>
  <c r="I98" i="2"/>
  <c r="J98" i="2" s="1"/>
  <c r="I99" i="2"/>
  <c r="J99" i="2" s="1"/>
  <c r="I100" i="2"/>
  <c r="I101" i="2"/>
  <c r="I102" i="2"/>
  <c r="I103" i="2"/>
  <c r="J103" i="2" s="1"/>
  <c r="I104" i="2"/>
  <c r="J104" i="2" s="1"/>
  <c r="I105" i="2"/>
  <c r="J105" i="2" s="1"/>
  <c r="I106" i="2"/>
  <c r="J106" i="2" s="1"/>
  <c r="I107" i="2"/>
  <c r="J107" i="2" s="1"/>
  <c r="I108" i="2"/>
  <c r="J108" i="2" s="1"/>
  <c r="I109" i="2"/>
  <c r="J109" i="2" s="1"/>
  <c r="I110" i="2"/>
  <c r="J110" i="2" s="1"/>
  <c r="I111" i="2"/>
  <c r="J111" i="2" s="1"/>
  <c r="I112" i="2"/>
  <c r="J112" i="2" s="1"/>
  <c r="I113" i="2"/>
  <c r="I114" i="2"/>
  <c r="I115" i="2"/>
  <c r="J115" i="2" s="1"/>
  <c r="I116" i="2"/>
  <c r="J116" i="2" s="1"/>
  <c r="I117" i="2"/>
  <c r="J117" i="2" s="1"/>
  <c r="I118" i="2"/>
  <c r="J118" i="2" s="1"/>
  <c r="I119" i="2"/>
  <c r="J119" i="2" s="1"/>
  <c r="I120" i="2"/>
  <c r="J120" i="2" s="1"/>
  <c r="I121" i="2"/>
  <c r="J121" i="2" s="1"/>
  <c r="I122" i="2"/>
  <c r="J122" i="2" s="1"/>
  <c r="I123" i="2"/>
  <c r="I124" i="2"/>
  <c r="J124" i="2" s="1"/>
  <c r="I125" i="2"/>
  <c r="J125" i="2" s="1"/>
  <c r="I126" i="2"/>
  <c r="I127" i="2"/>
  <c r="J127" i="2" s="1"/>
  <c r="I128" i="2"/>
  <c r="J128" i="2" s="1"/>
  <c r="I129" i="2"/>
  <c r="J129" i="2" s="1"/>
  <c r="I130" i="2"/>
  <c r="J130" i="2" s="1"/>
  <c r="I131" i="2"/>
  <c r="J131" i="2" s="1"/>
  <c r="I132" i="2"/>
  <c r="J132" i="2" s="1"/>
  <c r="I133" i="2"/>
  <c r="J133" i="2" s="1"/>
  <c r="I134" i="2"/>
  <c r="J134" i="2" s="1"/>
  <c r="I135" i="2"/>
  <c r="J135" i="2" s="1"/>
  <c r="I136" i="2"/>
  <c r="J136" i="2" s="1"/>
  <c r="I137" i="2"/>
  <c r="J137" i="2" s="1"/>
  <c r="I138" i="2"/>
  <c r="J138" i="2" s="1"/>
  <c r="I139" i="2"/>
  <c r="J139" i="2" s="1"/>
  <c r="I140" i="2"/>
  <c r="J140" i="2" s="1"/>
  <c r="I141" i="2"/>
  <c r="J141" i="2" s="1"/>
  <c r="I142" i="2"/>
  <c r="J142" i="2" s="1"/>
  <c r="I143" i="2"/>
  <c r="J143" i="2" s="1"/>
  <c r="I144" i="2"/>
  <c r="J144" i="2" s="1"/>
  <c r="I145" i="2"/>
  <c r="J145" i="2" s="1"/>
  <c r="I146" i="2"/>
  <c r="J146" i="2" s="1"/>
  <c r="I147" i="2"/>
  <c r="I148" i="2"/>
  <c r="I149" i="2"/>
  <c r="I150" i="2"/>
  <c r="J150" i="2" s="1"/>
  <c r="I77" i="2"/>
  <c r="J77" i="2" s="1"/>
  <c r="I71" i="2"/>
  <c r="J71" i="2" s="1"/>
  <c r="I72" i="2"/>
  <c r="J72" i="2" s="1"/>
  <c r="I73" i="2"/>
  <c r="J73" i="2" s="1"/>
  <c r="I74" i="2"/>
  <c r="J74" i="2" s="1"/>
  <c r="I75" i="2"/>
  <c r="J75" i="2" s="1"/>
  <c r="I76" i="2"/>
  <c r="J76" i="2" s="1"/>
  <c r="I50" i="2"/>
  <c r="J50" i="2" s="1"/>
  <c r="I51" i="2"/>
  <c r="J51" i="2" s="1"/>
  <c r="I52" i="2"/>
  <c r="J52" i="2" s="1"/>
  <c r="I53" i="2"/>
  <c r="J53" i="2" s="1"/>
  <c r="I54" i="2"/>
  <c r="J54" i="2" s="1"/>
  <c r="I55" i="2"/>
  <c r="J55" i="2" s="1"/>
  <c r="I56" i="2"/>
  <c r="J56" i="2" s="1"/>
  <c r="I57" i="2"/>
  <c r="J57" i="2" s="1"/>
  <c r="I58" i="2"/>
  <c r="J58" i="2" s="1"/>
  <c r="I59" i="2"/>
  <c r="J59" i="2" s="1"/>
  <c r="I60" i="2"/>
  <c r="J60" i="2" s="1"/>
  <c r="I61" i="2"/>
  <c r="J61" i="2" s="1"/>
  <c r="I62" i="2"/>
  <c r="J62" i="2" s="1"/>
  <c r="I63" i="2"/>
  <c r="J63" i="2" s="1"/>
  <c r="I64" i="2"/>
  <c r="J64" i="2" s="1"/>
  <c r="I65" i="2"/>
  <c r="J65" i="2" s="1"/>
  <c r="I66" i="2"/>
  <c r="J66" i="2" s="1"/>
  <c r="I67" i="2"/>
  <c r="J67" i="2" s="1"/>
  <c r="I68" i="2"/>
  <c r="J68" i="2" s="1"/>
  <c r="I69" i="2"/>
  <c r="J69" i="2" s="1"/>
  <c r="I70" i="2"/>
  <c r="J70" i="2" s="1"/>
  <c r="I20" i="2"/>
  <c r="J20" i="2" s="1"/>
  <c r="I21" i="2"/>
  <c r="J21" i="2" s="1"/>
  <c r="I22" i="2"/>
  <c r="J22" i="2" s="1"/>
  <c r="I23" i="2"/>
  <c r="J23" i="2" s="1"/>
  <c r="I24" i="2"/>
  <c r="J24" i="2" s="1"/>
  <c r="I25" i="2"/>
  <c r="J25" i="2" s="1"/>
  <c r="I26" i="2"/>
  <c r="J26" i="2" s="1"/>
  <c r="I27" i="2"/>
  <c r="I28" i="2"/>
  <c r="J28" i="2" s="1"/>
  <c r="I29" i="2"/>
  <c r="J29" i="2" s="1"/>
  <c r="I30" i="2"/>
  <c r="J30" i="2" s="1"/>
  <c r="I31" i="2"/>
  <c r="J31" i="2" s="1"/>
  <c r="I32" i="2"/>
  <c r="J32" i="2" s="1"/>
  <c r="I33" i="2"/>
  <c r="J33" i="2" s="1"/>
  <c r="I34" i="2"/>
  <c r="J34" i="2" s="1"/>
  <c r="I35" i="2"/>
  <c r="J35" i="2" s="1"/>
  <c r="I36" i="2"/>
  <c r="I37" i="2"/>
  <c r="I38" i="2"/>
  <c r="J38" i="2" s="1"/>
  <c r="I39" i="2"/>
  <c r="J39" i="2" s="1"/>
  <c r="I40" i="2"/>
  <c r="J40" i="2" s="1"/>
  <c r="I41" i="2"/>
  <c r="J41" i="2" s="1"/>
  <c r="I42" i="2"/>
  <c r="J42" i="2" s="1"/>
  <c r="I43" i="2"/>
  <c r="J43" i="2" s="1"/>
  <c r="I44" i="2"/>
  <c r="J44" i="2" s="1"/>
  <c r="I45" i="2"/>
  <c r="J45" i="2" s="1"/>
  <c r="I46" i="2"/>
  <c r="J46" i="2" s="1"/>
  <c r="I47" i="2"/>
  <c r="J47" i="2" s="1"/>
  <c r="I48" i="2"/>
  <c r="I49" i="2"/>
  <c r="I3" i="2"/>
  <c r="J3" i="2" s="1"/>
  <c r="I4" i="2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G151" i="2"/>
  <c r="J15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21977A-55CE-473A-B12D-8921F028CD59}" keepAlive="1" name="Query - Changed Type" description="Connection to the 'Changed Type' query in the workbook." type="5" refreshedVersion="8" background="1" saveData="1">
    <dbPr connection="Provider=Microsoft.Mashup.OleDb.1;Data Source=$Workbook$;Location=&quot;Changed Type&quot;;Extended Properties=&quot;&quot;" command="SELECT * FROM [Changed Type]"/>
  </connection>
</connections>
</file>

<file path=xl/sharedStrings.xml><?xml version="1.0" encoding="utf-8"?>
<sst xmlns="http://schemas.openxmlformats.org/spreadsheetml/2006/main" count="1438" uniqueCount="435">
  <si>
    <t>Column1</t>
  </si>
  <si>
    <t>Column2</t>
  </si>
  <si>
    <t>Column3</t>
  </si>
  <si>
    <t>Column4</t>
  </si>
  <si>
    <t>Column5</t>
  </si>
  <si>
    <t>Column6</t>
  </si>
  <si>
    <t>Column7</t>
  </si>
  <si>
    <t xml:space="preserve">  </t>
  </si>
  <si>
    <t xml:space="preserve">670-81730-1_FLPivot.xlsx                                             </t>
  </si>
  <si>
    <t xml:space="preserve">670-82336-1_FLPivot.xlsx                                             </t>
  </si>
  <si>
    <t xml:space="preserve">670-82929-1_FLPivot.xlsx                                             </t>
  </si>
  <si>
    <t xml:space="preserve">670-83123-1_FLPivot.xlsx                                             </t>
  </si>
  <si>
    <t xml:space="preserve">670-83428-1_FLPivot.xlsx                                             </t>
  </si>
  <si>
    <t xml:space="preserve">670-83876-1_FLPivot.xlsx                                             </t>
  </si>
  <si>
    <t xml:space="preserve">670-84409-1_FLPivot.xlsx                                             </t>
  </si>
  <si>
    <t xml:space="preserve">670-85098-1_FLPivot.xlsx                                             </t>
  </si>
  <si>
    <t xml:space="preserve">670-85734-1_FLPivot.xlsx                                             </t>
  </si>
  <si>
    <t xml:space="preserve">762-8338-1_FLPivot.xlsx                                              </t>
  </si>
  <si>
    <t xml:space="preserve">762-8574-1_FLPivot.xlsx                                              </t>
  </si>
  <si>
    <t xml:space="preserve">762-8602-1_FLPivot.xlsx                                              </t>
  </si>
  <si>
    <t xml:space="preserve">762-8603-1_FLPivot.xlsx                                              </t>
  </si>
  <si>
    <t xml:space="preserve">762-8604-1_FLPivot.xlsx                                              </t>
  </si>
  <si>
    <t xml:space="preserve">762-8620-1_FLPivot.xlsx                                              </t>
  </si>
  <si>
    <t xml:space="preserve">762-8636-1_FLPivot.xlsx                                              </t>
  </si>
  <si>
    <t xml:space="preserve">762-8649-1_FLPivot.xlsx                                              </t>
  </si>
  <si>
    <t xml:space="preserve">762-8650-1_FLPivot.xlsx                                              </t>
  </si>
  <si>
    <t xml:space="preserve">762-8666-1_FLPivot.xlsx                                              </t>
  </si>
  <si>
    <t xml:space="preserve">762-8667-1_FLPivot.xlsx                                              </t>
  </si>
  <si>
    <t xml:space="preserve">762-8668-1_FLPivot.xlsx                                              </t>
  </si>
  <si>
    <t xml:space="preserve">762-8678-1_FLPivot.xlsx                                              </t>
  </si>
  <si>
    <t xml:space="preserve">762-8695-1_FLPivot.xlsx                                              </t>
  </si>
  <si>
    <t xml:space="preserve">762-8697-1_FLPivot.xlsx                                              </t>
  </si>
  <si>
    <t xml:space="preserve">762-8715-1_FLPivot.xlsx                                              </t>
  </si>
  <si>
    <t xml:space="preserve">762-8716-1_FLPivot.xlsx                                              </t>
  </si>
  <si>
    <t xml:space="preserve">762-8717-1_FLPivot.xlsx                                              </t>
  </si>
  <si>
    <t xml:space="preserve">762-8728-1_FLPivot.xlsx                                              </t>
  </si>
  <si>
    <t xml:space="preserve">762-8729-1_FLPivot.xlsx                                              </t>
  </si>
  <si>
    <t xml:space="preserve">762-8730-1_FLPivot.xlsx                                              </t>
  </si>
  <si>
    <t xml:space="preserve">762-8740-1_FLPivot.xlsx                                              </t>
  </si>
  <si>
    <t xml:space="preserve">762-8756-1_FLPivot.xlsx                                              </t>
  </si>
  <si>
    <t xml:space="preserve">762-8768-1_FLPivot.xlsx                                              </t>
  </si>
  <si>
    <t xml:space="preserve">762-8769-1_FLPivot.xlsx                                              </t>
  </si>
  <si>
    <t xml:space="preserve">762-8789-1_FLPivot.xlsx                                              </t>
  </si>
  <si>
    <t xml:space="preserve">762-8790-1_FLPivot.xlsx                                              </t>
  </si>
  <si>
    <t xml:space="preserve">762-8791-1_FLPivot.xlsx                                              </t>
  </si>
  <si>
    <t xml:space="preserve">762-8833-1_FLPivot.xlsx                                              </t>
  </si>
  <si>
    <t xml:space="preserve">762-8835-1_FLPivot.xlsx                                              </t>
  </si>
  <si>
    <t xml:space="preserve">762-8842-1_FLPivot.xlsx                                              </t>
  </si>
  <si>
    <t xml:space="preserve">762-8843-1_FLPivot.xlsx                                              </t>
  </si>
  <si>
    <t xml:space="preserve">762-8851-1_FLPivot.xlsx                                              </t>
  </si>
  <si>
    <t xml:space="preserve">762-8852-1_FLPivot.xlsx                                              </t>
  </si>
  <si>
    <t xml:space="preserve">762-8853-1_FLPivot.xlsx                                              </t>
  </si>
  <si>
    <t xml:space="preserve">762-8869-1_FLPivot.xlsx                                              </t>
  </si>
  <si>
    <t xml:space="preserve">762-8892-1_FLPivot.xlsx                                              </t>
  </si>
  <si>
    <t xml:space="preserve">762-8905-1_FLPivot.xlsx                                              </t>
  </si>
  <si>
    <t xml:space="preserve">762-8906-1_FLPivot.xlsx                                              </t>
  </si>
  <si>
    <t xml:space="preserve">762-8914-1_FLPivot.xlsx                                              </t>
  </si>
  <si>
    <t xml:space="preserve">762-8915-1_FLPivot.xlsx                                              </t>
  </si>
  <si>
    <t xml:space="preserve">762-8916-1_FLPivot.xlsx                                              </t>
  </si>
  <si>
    <t xml:space="preserve">762-8924-1_FLPivot.xlsx                                              </t>
  </si>
  <si>
    <t xml:space="preserve">762-8941-1_FLPivot.xlsx                                              </t>
  </si>
  <si>
    <t xml:space="preserve">762-8955-1_FLPivot.xlsx                                              </t>
  </si>
  <si>
    <t xml:space="preserve">762-8956-1_FLPivot.xlsx                                              </t>
  </si>
  <si>
    <t xml:space="preserve">762-8959-1_FLPivot.xlsx                                              </t>
  </si>
  <si>
    <t xml:space="preserve">762-8972-1_FLPivot.xlsx                                              </t>
  </si>
  <si>
    <t xml:space="preserve">762-8973-1_FLPivot.xlsx                                              </t>
  </si>
  <si>
    <t xml:space="preserve">762-8974-1_FLPivot.xlsx                                              </t>
  </si>
  <si>
    <t xml:space="preserve">762-8988-1_FLPivot.xlsx                                              </t>
  </si>
  <si>
    <t xml:space="preserve">762-9003-1_FLPivot.xlsx                                              </t>
  </si>
  <si>
    <t xml:space="preserve">762-9006-1_FLPivot.xlsx                                              </t>
  </si>
  <si>
    <t xml:space="preserve">762-9013-1_FLPivot.xlsx                                              </t>
  </si>
  <si>
    <t xml:space="preserve">762-9014-1_FLPivot.xlsx                                              </t>
  </si>
  <si>
    <t xml:space="preserve">762-9030-1_FLPivot.xlsx                                              </t>
  </si>
  <si>
    <t xml:space="preserve">762-9048-1_FLPivot.xlsx                                              </t>
  </si>
  <si>
    <t xml:space="preserve">762-9091-1_FLPivot.xlsx                                              </t>
  </si>
  <si>
    <t xml:space="preserve">762-9092-1_FLPivot.xlsx                                              </t>
  </si>
  <si>
    <t xml:space="preserve">762-9099-1_FLPivot.xlsx                                              </t>
  </si>
  <si>
    <t xml:space="preserve">762-9100-1_FLPivot.xlsx                                              </t>
  </si>
  <si>
    <t xml:space="preserve">762-9101-1_FLPivot.xlsx                                              </t>
  </si>
  <si>
    <t xml:space="preserve">762-9121-1_FLPivot.xlsx                                              </t>
  </si>
  <si>
    <t xml:space="preserve">762-9140-1_FLPivot.xlsx                                              </t>
  </si>
  <si>
    <t xml:space="preserve">762-9141-1_FLPivot.xlsx                                              </t>
  </si>
  <si>
    <t xml:space="preserve">J80668-1 UDS Level 2 Report Final Report.pdf                         </t>
  </si>
  <si>
    <t xml:space="preserve">J81730-1 UDS Level 2 Report Final Report.pdf                         </t>
  </si>
  <si>
    <t xml:space="preserve">J82336-1 UDS Level 2 Report Final Report.pdf                         </t>
  </si>
  <si>
    <t xml:space="preserve">J83123-1 UDS Level 2 Report Final Report.pdf                         </t>
  </si>
  <si>
    <t xml:space="preserve">J8338-1 UDS Level 2 Report Final Report.pdf                          </t>
  </si>
  <si>
    <t xml:space="preserve">J83428-1 UDS Level 2 Report Final Report.pdf                         </t>
  </si>
  <si>
    <t xml:space="preserve">J83876-1 UDS Level 2 Report Final Report.pdf                         </t>
  </si>
  <si>
    <t xml:space="preserve">J84409-1 UDS Level 2 Report Final Report.pdf                         </t>
  </si>
  <si>
    <t xml:space="preserve">J85734-1 UDS Level 2 Report Final Report.pdf                         </t>
  </si>
  <si>
    <t xml:space="preserve">J8574-1 UDS Level 2 Report Final Report.pdf                          </t>
  </si>
  <si>
    <t xml:space="preserve">J8602-1 UDS Level 2 Report Final Report.pdf                          </t>
  </si>
  <si>
    <t xml:space="preserve">J8603-1 UDS Level 2 Report Final Report.pdf                          </t>
  </si>
  <si>
    <t xml:space="preserve">J8604-1 UDS Level 2 Report Final Report.pdf                          </t>
  </si>
  <si>
    <t xml:space="preserve">J8620-1 UDS Level 2 Report Final Report.pdf                          </t>
  </si>
  <si>
    <t xml:space="preserve">J8636-1 UDS Level 2 Report Final Report.pdf                          </t>
  </si>
  <si>
    <t xml:space="preserve">J8649-1 UDS Level 2 Report Final Report.pdf                          </t>
  </si>
  <si>
    <t xml:space="preserve">J8650-1 UDS Level 2 Report Final Report.pdf                          </t>
  </si>
  <si>
    <t xml:space="preserve">J8666-1 UDS Level 2 Report Final Report.pdf                          </t>
  </si>
  <si>
    <t xml:space="preserve">J8667-1 UDS Level 2 Report Final Report.pdf                          </t>
  </si>
  <si>
    <t xml:space="preserve">J8668-1 UDS Level 2 Report Final Report.pdf                          </t>
  </si>
  <si>
    <t xml:space="preserve">J8678-1 UDS Level 2 Report Final Report.pdf                          </t>
  </si>
  <si>
    <t xml:space="preserve">J8695-1 UDS Level 2 Report Final Report.pdf                          </t>
  </si>
  <si>
    <t xml:space="preserve">J8697-1 UDS Level 2 Report Final Report.pdf                          </t>
  </si>
  <si>
    <t xml:space="preserve">J8715-1 UDS Level 2 Report Final Report.pdf                          </t>
  </si>
  <si>
    <t xml:space="preserve">J8717-1 UDS Level 2 Report Final Report.pdf                          </t>
  </si>
  <si>
    <t xml:space="preserve">J8728-1 UDS Level 2 Report Final Report.pdf                          </t>
  </si>
  <si>
    <t xml:space="preserve">J8729-1 UDS Level 2 Report Final Report.pdf                          </t>
  </si>
  <si>
    <t xml:space="preserve">J8730-1 UDS Level 2 Report Final Report.pdf                          </t>
  </si>
  <si>
    <t xml:space="preserve">J8740-1 UDS Level 2 Report Final Report.pdf                          </t>
  </si>
  <si>
    <t xml:space="preserve">J8756-1 UDS Level 2 Report Final Report.pdf                          </t>
  </si>
  <si>
    <t xml:space="preserve">J8768-1 UDS Level 2 Report Final Report.pdf                          </t>
  </si>
  <si>
    <t xml:space="preserve">J8769-1 UDS Level 2 Report Final Report.pdf                          </t>
  </si>
  <si>
    <t xml:space="preserve">J8789-1 UDS Level 2 Report Final Report.pdf                          </t>
  </si>
  <si>
    <t xml:space="preserve">J8790-1 UDS Level 2 Report Final Report.pdf                          </t>
  </si>
  <si>
    <t xml:space="preserve">J8791-1 UDS Level 2 Report Final Report.pdf                          </t>
  </si>
  <si>
    <t xml:space="preserve">J8833-1 UDS Level 2 Report Final Report.pdf                          </t>
  </si>
  <si>
    <t xml:space="preserve">J8835-1 UDS Level 2 Report Final Report.pdf                          </t>
  </si>
  <si>
    <t xml:space="preserve">J8842-1 UDS Level 2 Report Final Report.pdf                          </t>
  </si>
  <si>
    <t xml:space="preserve">J8843-1 UDS Level 2 Report Final Report.pdf                          </t>
  </si>
  <si>
    <t xml:space="preserve">J8851-1 UDS Level 2 Report Final Report.pdf                          </t>
  </si>
  <si>
    <t xml:space="preserve">J8852-1 UDS Level 2 Report Final Report.pdf                          </t>
  </si>
  <si>
    <t xml:space="preserve">J8853-1 UDS Level 2 Report Final Report.pdf                          </t>
  </si>
  <si>
    <t xml:space="preserve">J8869-1 UDS Level 2 Report Final Report.pdf                          </t>
  </si>
  <si>
    <t xml:space="preserve">J8892-1 UDS Level 2 Report Final Report.pdf                          </t>
  </si>
  <si>
    <t xml:space="preserve">J8905-1 UDS Level 2 Report Final Report.pdf                          </t>
  </si>
  <si>
    <t xml:space="preserve">J8906-1 UDS Level 2 Report Final Report.pdf                          </t>
  </si>
  <si>
    <t xml:space="preserve">J8914-1 UDS Level 2 Report Final Report.pdf                          </t>
  </si>
  <si>
    <t xml:space="preserve">J8915-1 UDS Level 2 Report Final Report.pdf                          </t>
  </si>
  <si>
    <t xml:space="preserve">J8916-1 UDS Level 2 Report Final Report.pdf                          </t>
  </si>
  <si>
    <t xml:space="preserve">J8924-1 UDS Level 2 Report Final Report.pdf                          </t>
  </si>
  <si>
    <t xml:space="preserve">J8941-1 UDS Level 2 Report Final Report.pdf                          </t>
  </si>
  <si>
    <t xml:space="preserve">J8955-1 UDS Level 2 Report Final Report.pdf                          </t>
  </si>
  <si>
    <t xml:space="preserve">J8956-1 UDS Level 2 Report Final Report.pdf                          </t>
  </si>
  <si>
    <t xml:space="preserve">J8959-1 UDS Level 2 Report Final Report.pdf                          </t>
  </si>
  <si>
    <t xml:space="preserve">J8972-1 UDS Level 2 Report Final Report.pdf                          </t>
  </si>
  <si>
    <t xml:space="preserve">J8973-1 UDS Level 2 Report Final Report.pdf                          </t>
  </si>
  <si>
    <t xml:space="preserve">J8974-1 UDS Level 2 Report Final Report.pdf                          </t>
  </si>
  <si>
    <t xml:space="preserve">J8988-1 UDS Level 2 Report Final Report.pdf                          </t>
  </si>
  <si>
    <t xml:space="preserve">J9003-1 UDS Level 2 Report Final Report.pdf                          </t>
  </si>
  <si>
    <t xml:space="preserve">J9006-1 UDS Level 2 Report Final Report.pdf                          </t>
  </si>
  <si>
    <t xml:space="preserve">J9013-1 UDS Level 2 Report Final Report.pdf                          </t>
  </si>
  <si>
    <t xml:space="preserve">J9014-1 UDS Level 2 Report Final Report.pdf                          </t>
  </si>
  <si>
    <t xml:space="preserve">J9031-1 UDS Level 2 Report Final Report.pdf                          </t>
  </si>
  <si>
    <t xml:space="preserve">J9032-1 UDS Level 2 Report Final Report.pdf                          </t>
  </si>
  <si>
    <t xml:space="preserve">J9048-1 UDS Level 2 Report Final Report.pdf                          </t>
  </si>
  <si>
    <t xml:space="preserve">J9074-1 UDS Level 2 Report Final Report.pdf                          </t>
  </si>
  <si>
    <t xml:space="preserve">J9091-1 UDS Level 2 Report Final Report.pdf                          </t>
  </si>
  <si>
    <t xml:space="preserve">J9092-1 UDS Level 2 Report Final Report.pdf                          </t>
  </si>
  <si>
    <t xml:space="preserve">J9099-1 UDS Level 2 Report Final Report.pdf                          </t>
  </si>
  <si>
    <t xml:space="preserve">J9100-1 UDS Level 2 Report Final Report.pdf                          </t>
  </si>
  <si>
    <t xml:space="preserve">J9101-1 UDS Level 2 Report Final Report.pdf                          </t>
  </si>
  <si>
    <t xml:space="preserve">J9121-1 UDS Level 2 Report Final Report.pdf                          </t>
  </si>
  <si>
    <t xml:space="preserve">J9140-1 UDS Level 2 Report Final Report.pdf                          </t>
  </si>
  <si>
    <t xml:space="preserve">J9141-1 UDS Level 2 Report Final Report.pdf                          </t>
  </si>
  <si>
    <t>Total</t>
  </si>
  <si>
    <t>PDF Files</t>
  </si>
  <si>
    <t xml:space="preserve"> </t>
  </si>
  <si>
    <t xml:space="preserve"> 4/29/2026</t>
  </si>
  <si>
    <t xml:space="preserve">-a----        </t>
  </si>
  <si>
    <t xml:space="preserve"> 1:00 PM </t>
  </si>
  <si>
    <t xml:space="preserve">          6915</t>
  </si>
  <si>
    <t xml:space="preserve">12:59 PM </t>
  </si>
  <si>
    <t xml:space="preserve">12:58 PM </t>
  </si>
  <si>
    <t xml:space="preserve">          6977</t>
  </si>
  <si>
    <t xml:space="preserve">12:57 PM </t>
  </si>
  <si>
    <t xml:space="preserve">          6910</t>
  </si>
  <si>
    <t xml:space="preserve">12:56 PM </t>
  </si>
  <si>
    <t xml:space="preserve">12:54 PM </t>
  </si>
  <si>
    <t xml:space="preserve">          6916</t>
  </si>
  <si>
    <t xml:space="preserve">12:52 PM </t>
  </si>
  <si>
    <t xml:space="preserve">          6917</t>
  </si>
  <si>
    <t xml:space="preserve">12:51 PM </t>
  </si>
  <si>
    <t xml:space="preserve">          6984</t>
  </si>
  <si>
    <t xml:space="preserve">          7000</t>
  </si>
  <si>
    <t xml:space="preserve">          6983</t>
  </si>
  <si>
    <t xml:space="preserve">          6914</t>
  </si>
  <si>
    <t xml:space="preserve">          6540</t>
  </si>
  <si>
    <t xml:space="preserve">          6539</t>
  </si>
  <si>
    <t xml:space="preserve">          6913</t>
  </si>
  <si>
    <t xml:space="preserve">          6541</t>
  </si>
  <si>
    <t xml:space="preserve">          6908</t>
  </si>
  <si>
    <t xml:space="preserve">          6981</t>
  </si>
  <si>
    <t xml:space="preserve">          6737</t>
  </si>
  <si>
    <t xml:space="preserve">          6992</t>
  </si>
  <si>
    <t xml:space="preserve">          7346</t>
  </si>
  <si>
    <t xml:space="preserve">          6601</t>
  </si>
  <si>
    <t xml:space="preserve">          6911</t>
  </si>
  <si>
    <t xml:space="preserve">          6975</t>
  </si>
  <si>
    <t xml:space="preserve">          7068</t>
  </si>
  <si>
    <t xml:space="preserve">          6985</t>
  </si>
  <si>
    <t xml:space="preserve">          6600</t>
  </si>
  <si>
    <t xml:space="preserve">          6907</t>
  </si>
  <si>
    <t xml:space="preserve">          6740</t>
  </si>
  <si>
    <t xml:space="preserve">12:55 PM </t>
  </si>
  <si>
    <t xml:space="preserve">          6538</t>
  </si>
  <si>
    <t xml:space="preserve">          6912</t>
  </si>
  <si>
    <t xml:space="preserve">          6988</t>
  </si>
  <si>
    <t xml:space="preserve">          6903</t>
  </si>
  <si>
    <t xml:space="preserve">          7067</t>
  </si>
  <si>
    <t xml:space="preserve">          7274</t>
  </si>
  <si>
    <t xml:space="preserve">12:53 PM </t>
  </si>
  <si>
    <t xml:space="preserve">          6743</t>
  </si>
  <si>
    <t xml:space="preserve">          7004</t>
  </si>
  <si>
    <t xml:space="preserve">          7001</t>
  </si>
  <si>
    <t xml:space="preserve"> 6:55 AM </t>
  </si>
  <si>
    <t xml:space="preserve">          6860</t>
  </si>
  <si>
    <t xml:space="preserve"> 6:54 AM </t>
  </si>
  <si>
    <t xml:space="preserve">        944041</t>
  </si>
  <si>
    <t xml:space="preserve">        957848</t>
  </si>
  <si>
    <t xml:space="preserve">        957189</t>
  </si>
  <si>
    <t xml:space="preserve">        965828</t>
  </si>
  <si>
    <t xml:space="preserve">       1187880</t>
  </si>
  <si>
    <t xml:space="preserve">        962230</t>
  </si>
  <si>
    <t xml:space="preserve">        952270</t>
  </si>
  <si>
    <t xml:space="preserve">        950775</t>
  </si>
  <si>
    <t xml:space="preserve">        941713</t>
  </si>
  <si>
    <t xml:space="preserve">       1187292</t>
  </si>
  <si>
    <t xml:space="preserve">       1192372</t>
  </si>
  <si>
    <t xml:space="preserve">       1182458</t>
  </si>
  <si>
    <t xml:space="preserve">       1181656</t>
  </si>
  <si>
    <t xml:space="preserve">       1190557</t>
  </si>
  <si>
    <t xml:space="preserve">       1208972</t>
  </si>
  <si>
    <t xml:space="preserve">       1214692</t>
  </si>
  <si>
    <t xml:space="preserve">       1202019</t>
  </si>
  <si>
    <t xml:space="preserve">       1216988</t>
  </si>
  <si>
    <t xml:space="preserve">       1198430</t>
  </si>
  <si>
    <t xml:space="preserve">       1194260</t>
  </si>
  <si>
    <t xml:space="preserve">       1176530</t>
  </si>
  <si>
    <t xml:space="preserve">       1225068</t>
  </si>
  <si>
    <t xml:space="preserve">       1212073</t>
  </si>
  <si>
    <t xml:space="preserve">       1103771</t>
  </si>
  <si>
    <t xml:space="preserve">       1136316</t>
  </si>
  <si>
    <t xml:space="preserve">       1223986</t>
  </si>
  <si>
    <t xml:space="preserve">       1204766</t>
  </si>
  <si>
    <t xml:space="preserve">       1202140</t>
  </si>
  <si>
    <t xml:space="preserve">       1218193</t>
  </si>
  <si>
    <t xml:space="preserve">       1208850</t>
  </si>
  <si>
    <t xml:space="preserve">       1349191</t>
  </si>
  <si>
    <t xml:space="preserve">       1345887</t>
  </si>
  <si>
    <t xml:space="preserve">       1190694</t>
  </si>
  <si>
    <t xml:space="preserve">       1168292</t>
  </si>
  <si>
    <t xml:space="preserve">       1173056</t>
  </si>
  <si>
    <t xml:space="preserve">       1186704</t>
  </si>
  <si>
    <t xml:space="preserve">       1180851</t>
  </si>
  <si>
    <t xml:space="preserve">       1194169</t>
  </si>
  <si>
    <t xml:space="preserve">       1195809</t>
  </si>
  <si>
    <t xml:space="preserve">       1217638</t>
  </si>
  <si>
    <t xml:space="preserve">       1207956</t>
  </si>
  <si>
    <t xml:space="preserve">       1210839</t>
  </si>
  <si>
    <t xml:space="preserve">       1187919</t>
  </si>
  <si>
    <t xml:space="preserve">       1192304</t>
  </si>
  <si>
    <t xml:space="preserve">       1202593</t>
  </si>
  <si>
    <t xml:space="preserve">       1191693</t>
  </si>
  <si>
    <t xml:space="preserve">       1206726</t>
  </si>
  <si>
    <t xml:space="preserve">       1190848</t>
  </si>
  <si>
    <t xml:space="preserve">       1182734</t>
  </si>
  <si>
    <t xml:space="preserve">       1205147</t>
  </si>
  <si>
    <t xml:space="preserve">       1203906</t>
  </si>
  <si>
    <t xml:space="preserve">       1192541</t>
  </si>
  <si>
    <t xml:space="preserve">       1190062</t>
  </si>
  <si>
    <t xml:space="preserve">       1230121</t>
  </si>
  <si>
    <t xml:space="preserve">       1194575</t>
  </si>
  <si>
    <t xml:space="preserve">       1171715</t>
  </si>
  <si>
    <t xml:space="preserve">       1174122</t>
  </si>
  <si>
    <t xml:space="preserve">       1201195</t>
  </si>
  <si>
    <t xml:space="preserve">       1197738</t>
  </si>
  <si>
    <t xml:space="preserve">       1189589</t>
  </si>
  <si>
    <t xml:space="preserve">       1283995</t>
  </si>
  <si>
    <t xml:space="preserve">       1290300</t>
  </si>
  <si>
    <t xml:space="preserve">       1181381</t>
  </si>
  <si>
    <t xml:space="preserve">       1177979</t>
  </si>
  <si>
    <t xml:space="preserve">       1207291</t>
  </si>
  <si>
    <t xml:space="preserve">       1193313</t>
  </si>
  <si>
    <t xml:space="preserve">       1200792</t>
  </si>
  <si>
    <t xml:space="preserve">       1201391</t>
  </si>
  <si>
    <t xml:space="preserve">       1193526</t>
  </si>
  <si>
    <t xml:space="preserve">       1167262</t>
  </si>
  <si>
    <t xml:space="preserve">       1173115</t>
  </si>
  <si>
    <t xml:space="preserve">       1192171</t>
  </si>
  <si>
    <t xml:space="preserve">       1194224</t>
  </si>
  <si>
    <t xml:space="preserve">       1187589</t>
  </si>
  <si>
    <t>670-80668-1_FLPivot.xlsx</t>
  </si>
  <si>
    <t>670-81730-1_FLPivot.xlsx</t>
  </si>
  <si>
    <t>670-82336-1_FLPivot.xlsx</t>
  </si>
  <si>
    <t>670-82929-1_FLPivot.xlsx</t>
  </si>
  <si>
    <t>670-83123-1_FLPivot.xlsx</t>
  </si>
  <si>
    <t>670-83428-1_FLPivot.xlsx</t>
  </si>
  <si>
    <t>670-83876-1_FLPivot.xlsx</t>
  </si>
  <si>
    <t>670-84409-1_FLPivot.xlsx</t>
  </si>
  <si>
    <t>670-85098-1_FLPivot.xlsx</t>
  </si>
  <si>
    <t>670-85734-1_FLPivot.xlsx</t>
  </si>
  <si>
    <t>762-8338-1_FLPivot.xlsx</t>
  </si>
  <si>
    <t>762-8574-1_FLPivot.xlsx</t>
  </si>
  <si>
    <t>762-8602-1_FLPivot.xlsx</t>
  </si>
  <si>
    <t>762-8603-1_FLPivot.xlsx</t>
  </si>
  <si>
    <t>762-8604-1_FLPivot.xlsx</t>
  </si>
  <si>
    <t>762-8620-1_FLPivot.xlsx</t>
  </si>
  <si>
    <t>762-8636-1_FLPivot.xlsx</t>
  </si>
  <si>
    <t>762-8649-1_FLPivot.xlsx</t>
  </si>
  <si>
    <t>762-8650-1_FLPivot.xlsx</t>
  </si>
  <si>
    <t>762-8666-1_FLPivot.xlsx</t>
  </si>
  <si>
    <t>762-8667-1_FLPivot.xlsx</t>
  </si>
  <si>
    <t>762-8668-1_FLPivot.xlsx</t>
  </si>
  <si>
    <t>762-8678-1_FLPivot.xlsx</t>
  </si>
  <si>
    <t>762-8695-1_FLPivot.xlsx</t>
  </si>
  <si>
    <t>762-8697-1_FLPivot.xlsx</t>
  </si>
  <si>
    <t>762-8715-1_FLPivot.xlsx</t>
  </si>
  <si>
    <t>762-8716-1_FLPivot.xlsx</t>
  </si>
  <si>
    <t>762-8717-1_FLPivot.xlsx</t>
  </si>
  <si>
    <t>762-8728-1_FLPivot.xlsx</t>
  </si>
  <si>
    <t>762-8729-1_FLPivot.xlsx</t>
  </si>
  <si>
    <t>762-8730-1_FLPivot.xlsx</t>
  </si>
  <si>
    <t>762-8740-1_FLPivot.xlsx</t>
  </si>
  <si>
    <t>762-8756-1_FLPivot.xlsx</t>
  </si>
  <si>
    <t>762-8768-1_FLPivot.xlsx</t>
  </si>
  <si>
    <t>762-8769-1_FLPivot.xlsx</t>
  </si>
  <si>
    <t>762-8789-1_FLPivot.xlsx</t>
  </si>
  <si>
    <t>762-8790-1_FLPivot.xlsx</t>
  </si>
  <si>
    <t>762-8791-1_FLPivot.xlsx</t>
  </si>
  <si>
    <t>762-8833-1_FLPivot.xlsx</t>
  </si>
  <si>
    <t>762-8835-1_FLPivot.xlsx</t>
  </si>
  <si>
    <t>762-8842-1_FLPivot.xlsx</t>
  </si>
  <si>
    <t>762-8843-1_FLPivot.xlsx</t>
  </si>
  <si>
    <t>762-8851-1_FLPivot.xlsx</t>
  </si>
  <si>
    <t>762-8852-1_FLPivot.xlsx</t>
  </si>
  <si>
    <t>762-8853-1_FLPivot.xlsx</t>
  </si>
  <si>
    <t>762-8869-1_FLPivot.xlsx</t>
  </si>
  <si>
    <t>762-8892-1_FLPivot.xlsx</t>
  </si>
  <si>
    <t>762-8905-1_FLPivot.xlsx</t>
  </si>
  <si>
    <t>762-8906-1_FLPivot.xlsx</t>
  </si>
  <si>
    <t>762-8914-1_FLPivot.xlsx</t>
  </si>
  <si>
    <t>762-8915-1_FLPivot.xlsx</t>
  </si>
  <si>
    <t>762-8916-1_FLPivot.xlsx</t>
  </si>
  <si>
    <t>762-8924-1_FLPivot.xlsx</t>
  </si>
  <si>
    <t>762-8941-1_FLPivot.xlsx</t>
  </si>
  <si>
    <t>762-8955-1_FLPivot.xlsx</t>
  </si>
  <si>
    <t>762-8956-1_FLPivot.xlsx</t>
  </si>
  <si>
    <t>762-8959-1_FLPivot.xlsx</t>
  </si>
  <si>
    <t>762-8972-1_FLPivot.xlsx</t>
  </si>
  <si>
    <t>762-8973-1_FLPivot.xlsx</t>
  </si>
  <si>
    <t>762-8974-1_FLPivot.xlsx</t>
  </si>
  <si>
    <t>762-8988-1_FLPivot.xlsx</t>
  </si>
  <si>
    <t>762-9003-1_FLPivot.xlsx</t>
  </si>
  <si>
    <t>762-9006-1_FLPivot.xlsx</t>
  </si>
  <si>
    <t>762-9013-1_FLPivot.xlsx</t>
  </si>
  <si>
    <t>762-9014-1_FLPivot.xlsx</t>
  </si>
  <si>
    <t>762-9030-1_FLPivot.xlsx</t>
  </si>
  <si>
    <t>762-9048-1_FLPivot.xlsx</t>
  </si>
  <si>
    <t>762-9091-1_FLPivot.xlsx</t>
  </si>
  <si>
    <t>762-9092-1_FLPivot.xlsx</t>
  </si>
  <si>
    <t>762-9099-1_FLPivot.xlsx</t>
  </si>
  <si>
    <t>762-9100-1_FLPivot.xlsx</t>
  </si>
  <si>
    <t>762-9101-1_FLPivot.xlsx</t>
  </si>
  <si>
    <t>762-9121-1_FLPivot.xlsx</t>
  </si>
  <si>
    <t>762-9140-1_FLPivot.xlsx</t>
  </si>
  <si>
    <t>762-9141-1_FLPivot.xlsx</t>
  </si>
  <si>
    <t>J80668-1 UDS Level 2 Report Final Report.pdf</t>
  </si>
  <si>
    <t>J81730-1 UDS Level 2 Report Final Report.pdf</t>
  </si>
  <si>
    <t>J82336-1 UDS Level 2 Report Final Report.pdf</t>
  </si>
  <si>
    <t>J83123-1 UDS Level 2 Report Final Report.pdf</t>
  </si>
  <si>
    <t>J8338-1 UDS Level 2 Report Final Report.pdf</t>
  </si>
  <si>
    <t>J83428-1 UDS Level 2 Report Final Report.pdf</t>
  </si>
  <si>
    <t>J83876-1 UDS Level 2 Report Final Report.pdf</t>
  </si>
  <si>
    <t>J84409-1 UDS Level 2 Report Final Report.pdf</t>
  </si>
  <si>
    <t>J85734-1 UDS Level 2 Report Final Report.pdf</t>
  </si>
  <si>
    <t>J8574-1 UDS Level 2 Report Final Report.pdf</t>
  </si>
  <si>
    <t>J8602-1 UDS Level 2 Report Final Report.pdf</t>
  </si>
  <si>
    <t>J8603-1 UDS Level 2 Report Final Report.pdf</t>
  </si>
  <si>
    <t>J8604-1 UDS Level 2 Report Final Report.pdf</t>
  </si>
  <si>
    <t>J8620-1 UDS Level 2 Report Final Report.pdf</t>
  </si>
  <si>
    <t>J8636-1 UDS Level 2 Report Final Report.pdf</t>
  </si>
  <si>
    <t>J8649-1 UDS Level 2 Report Final Report.pdf</t>
  </si>
  <si>
    <t>J8650-1 UDS Level 2 Report Final Report.pdf</t>
  </si>
  <si>
    <t>J8666-1 UDS Level 2 Report Final Report.pdf</t>
  </si>
  <si>
    <t>J8667-1 UDS Level 2 Report Final Report.pdf</t>
  </si>
  <si>
    <t>J8668-1 UDS Level 2 Report Final Report.pdf</t>
  </si>
  <si>
    <t>J8678-1 UDS Level 2 Report Final Report.pdf</t>
  </si>
  <si>
    <t>J8695-1 UDS Level 2 Report Final Report.pdf</t>
  </si>
  <si>
    <t>J8697-1 UDS Level 2 Report Final Report.pdf</t>
  </si>
  <si>
    <t>J8715-1 UDS Level 2 Report Final Report.pdf</t>
  </si>
  <si>
    <t>J8717-1 UDS Level 2 Report Final Report.pdf</t>
  </si>
  <si>
    <t>J8728-1 UDS Level 2 Report Final Report.pdf</t>
  </si>
  <si>
    <t>J8729-1 UDS Level 2 Report Final Report.pdf</t>
  </si>
  <si>
    <t>J8730-1 UDS Level 2 Report Final Report.pdf</t>
  </si>
  <si>
    <t>J8740-1 UDS Level 2 Report Final Report.pdf</t>
  </si>
  <si>
    <t>J8756-1 UDS Level 2 Report Final Report.pdf</t>
  </si>
  <si>
    <t>J8768-1 UDS Level 2 Report Final Report.pdf</t>
  </si>
  <si>
    <t>J8769-1 UDS Level 2 Report Final Report.pdf</t>
  </si>
  <si>
    <t>J8789-1 UDS Level 2 Report Final Report.pdf</t>
  </si>
  <si>
    <t>J8790-1 UDS Level 2 Report Final Report.pdf</t>
  </si>
  <si>
    <t>J8791-1 UDS Level 2 Report Final Report.pdf</t>
  </si>
  <si>
    <t>J8833-1 UDS Level 2 Report Final Report.pdf</t>
  </si>
  <si>
    <t>J8835-1 UDS Level 2 Report Final Report.pdf</t>
  </si>
  <si>
    <t>J8842-1 UDS Level 2 Report Final Report.pdf</t>
  </si>
  <si>
    <t>J8843-1 UDS Level 2 Report Final Report.pdf</t>
  </si>
  <si>
    <t>J8851-1 UDS Level 2 Report Final Report.pdf</t>
  </si>
  <si>
    <t>J8852-1 UDS Level 2 Report Final Report.pdf</t>
  </si>
  <si>
    <t>J8853-1 UDS Level 2 Report Final Report.pdf</t>
  </si>
  <si>
    <t>J8869-1 UDS Level 2 Report Final Report.pdf</t>
  </si>
  <si>
    <t>J8892-1 UDS Level 2 Report Final Report.pdf</t>
  </si>
  <si>
    <t>J8905-1 UDS Level 2 Report Final Report.pdf</t>
  </si>
  <si>
    <t>J8906-1 UDS Level 2 Report Final Report.pdf</t>
  </si>
  <si>
    <t>J8914-1 UDS Level 2 Report Final Report.pdf</t>
  </si>
  <si>
    <t>J8915-1 UDS Level 2 Report Final Report.pdf</t>
  </si>
  <si>
    <t>J8916-1 UDS Level 2 Report Final Report.pdf</t>
  </si>
  <si>
    <t>J8924-1 UDS Level 2 Report Final Report.pdf</t>
  </si>
  <si>
    <t>J8941-1 UDS Level 2 Report Final Report.pdf</t>
  </si>
  <si>
    <t>J8955-1 UDS Level 2 Report Final Report.pdf</t>
  </si>
  <si>
    <t>J8956-1 UDS Level 2 Report Final Report.pdf</t>
  </si>
  <si>
    <t>J8959-1 UDS Level 2 Report Final Report.pdf</t>
  </si>
  <si>
    <t>J8972-1 UDS Level 2 Report Final Report.pdf</t>
  </si>
  <si>
    <t>J8973-1 UDS Level 2 Report Final Report.pdf</t>
  </si>
  <si>
    <t>J8974-1 UDS Level 2 Report Final Report.pdf</t>
  </si>
  <si>
    <t>J8988-1 UDS Level 2 Report Final Report.pdf</t>
  </si>
  <si>
    <t>J9003-1 UDS Level 2 Report Final Report.pdf</t>
  </si>
  <si>
    <t>J9006-1 UDS Level 2 Report Final Report.pdf</t>
  </si>
  <si>
    <t>J9013-1 UDS Level 2 Report Final Report.pdf</t>
  </si>
  <si>
    <t>J9014-1 UDS Level 2 Report Final Report.pdf</t>
  </si>
  <si>
    <t>J9031-1 UDS Level 2 Report Final Report.pdf</t>
  </si>
  <si>
    <t>J9032-1 UDS Level 2 Report Final Report.pdf</t>
  </si>
  <si>
    <t>J9048-1 UDS Level 2 Report Final Report.pdf</t>
  </si>
  <si>
    <t>J9074-1 UDS Level 2 Report Final Report.pdf</t>
  </si>
  <si>
    <t>J9091-1 UDS Level 2 Report Final Report.pdf</t>
  </si>
  <si>
    <t>J9092-1 UDS Level 2 Report Final Report.pdf</t>
  </si>
  <si>
    <t>J9099-1 UDS Level 2 Report Final Report.pdf</t>
  </si>
  <si>
    <t>J9100-1 UDS Level 2 Report Final Report.pdf</t>
  </si>
  <si>
    <t>J9101-1 UDS Level 2 Report Final Report.pdf</t>
  </si>
  <si>
    <t>J9121-1 UDS Level 2 Report Final Report.pdf</t>
  </si>
  <si>
    <t>J9140-1 UDS Level 2 Report Final Report.pdf</t>
  </si>
  <si>
    <t>J9141-1 UDS Level 2 Report Final Report.pdf</t>
  </si>
  <si>
    <t>Excel Files</t>
  </si>
  <si>
    <t>4 without pdf</t>
  </si>
  <si>
    <t>3 without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</si>
</sst>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07DE03-8550-4A90-A447-BA43FD475352}" autoFormatId="16" applyNumberFormats="0" applyBorderFormats="0" applyFontFormats="0" applyPatternFormats="0" applyAlignmentFormats="0" applyWidthHeightFormats="0">
  <queryTableRefresh nextId="15">
    <queryTableFields count="7">
      <queryTableField id="11" name="Column1" tableColumnId="11"/>
      <queryTableField id="2" name="Column2" tableColumnId="2"/>
      <queryTableField id="12" name="Column3" tableColumnId="12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  <queryTableDeletedFields count="2">
      <deletedField name="Column1"/>
      <deletedField name="Column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FE907F-C3CD-44C1-B1A0-058F114BB2A1}" name="Changed_Type" displayName="Changed_Type" ref="A1:G151" tableType="queryTable" totalsRowCount="1">
  <autoFilter ref="A1:G150" xr:uid="{C2FE907F-C3CD-44C1-B1A0-058F114BB2A1}"/>
  <tableColumns count="7">
    <tableColumn id="11" xr3:uid="{E1F43AE0-ACC4-409E-8496-7CC2BB2120E9}" uniqueName="11" name="Column1" queryTableFieldId="11" dataDxfId="6"/>
    <tableColumn id="2" xr3:uid="{9AD21DEE-CD2E-4CC8-B92E-58A83B118F55}" uniqueName="2" name="Column2" totalsRowLabel="Total" queryTableFieldId="2" dataDxfId="5"/>
    <tableColumn id="12" xr3:uid="{B9B990F4-4728-4DFD-8327-CA6165B74B79}" uniqueName="12" name="Column3" queryTableFieldId="12" dataDxfId="4"/>
    <tableColumn id="4" xr3:uid="{34F7AD00-6A79-47F7-B98F-093C0CD4CB3C}" uniqueName="4" name="Column4" queryTableFieldId="4" dataDxfId="3"/>
    <tableColumn id="5" xr3:uid="{4187C810-8F5F-4FED-A176-337AF2CEFBA1}" uniqueName="5" name="Column5" queryTableFieldId="5" dataDxfId="2"/>
    <tableColumn id="6" xr3:uid="{BD1D9804-64FF-44E9-B2DB-AA8FB3F013D3}" uniqueName="6" name="Column6" queryTableFieldId="6" dataDxfId="1"/>
    <tableColumn id="7" xr3:uid="{ECC07B84-DE97-49EC-B017-897D46A3FBAA}" uniqueName="7" name="Column7" totalsRowFunction="count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3D3F7-0CE5-41EF-ACDA-284F053901C3}">
  <dimension ref="A1:W155"/>
  <sheetViews>
    <sheetView tabSelected="1" topLeftCell="G82" workbookViewId="0">
      <selection activeCell="N2" sqref="N2:N150"/>
    </sheetView>
  </sheetViews>
  <sheetFormatPr defaultRowHeight="15" x14ac:dyDescent="0.25"/>
  <cols>
    <col min="1" max="4" width="11.42578125" hidden="1" customWidth="1"/>
    <col min="5" max="5" width="14.85546875" hidden="1" customWidth="1"/>
    <col min="6" max="6" width="11.42578125" hidden="1" customWidth="1"/>
    <col min="7" max="7" width="51.28515625" customWidth="1"/>
    <col min="8" max="8" width="11.42578125" bestFit="1" customWidth="1"/>
    <col min="9" max="9" width="10" bestFit="1" customWidth="1"/>
    <col min="10" max="10" width="6" bestFit="1" customWidth="1"/>
    <col min="14" max="14" width="23.28515625" customWidth="1"/>
    <col min="17" max="17" width="23.85546875" customWidth="1"/>
    <col min="20" max="20" width="40.140625" bestFit="1" customWidth="1"/>
    <col min="23" max="23" width="21.71093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23" x14ac:dyDescent="0.25">
      <c r="A2" s="1" t="s">
        <v>160</v>
      </c>
      <c r="B2" s="1" t="s">
        <v>159</v>
      </c>
      <c r="C2" s="1" t="s">
        <v>7</v>
      </c>
      <c r="D2" s="1" t="s">
        <v>161</v>
      </c>
      <c r="E2" s="1" t="s">
        <v>162</v>
      </c>
      <c r="F2" s="1" t="s">
        <v>158</v>
      </c>
      <c r="G2" s="1" t="s">
        <v>283</v>
      </c>
      <c r="I2">
        <f>FIND("_FL",Changed_Type[[#This Row],[Column7]])</f>
        <v>12</v>
      </c>
      <c r="J2" t="str">
        <f>MID(Changed_Type[[#This Row],[Column7]],5,I2-7)</f>
        <v>80668</v>
      </c>
      <c r="M2" s="1">
        <v>80668</v>
      </c>
      <c r="N2" t="s">
        <v>283</v>
      </c>
      <c r="P2" s="1">
        <v>80668</v>
      </c>
      <c r="Q2" t="s">
        <v>283</v>
      </c>
      <c r="S2">
        <v>8338</v>
      </c>
      <c r="T2" t="s">
        <v>293</v>
      </c>
      <c r="V2" s="2">
        <v>82929</v>
      </c>
      <c r="W2" s="2" t="s">
        <v>286</v>
      </c>
    </row>
    <row r="3" spans="1:23" x14ac:dyDescent="0.25">
      <c r="A3" s="1" t="s">
        <v>160</v>
      </c>
      <c r="B3" s="1" t="s">
        <v>159</v>
      </c>
      <c r="C3" s="1" t="s">
        <v>7</v>
      </c>
      <c r="D3" s="1" t="s">
        <v>163</v>
      </c>
      <c r="E3" s="1" t="s">
        <v>162</v>
      </c>
      <c r="F3" s="1" t="s">
        <v>158</v>
      </c>
      <c r="G3" s="1" t="s">
        <v>8</v>
      </c>
      <c r="I3">
        <f>FIND("_FL",Changed_Type[[#This Row],[Column7]])</f>
        <v>12</v>
      </c>
      <c r="J3" t="str">
        <f>MID(Changed_Type[[#This Row],[Column7]],5,I3-7)</f>
        <v>81730</v>
      </c>
      <c r="M3" s="1">
        <v>81730</v>
      </c>
      <c r="N3" t="s">
        <v>284</v>
      </c>
      <c r="P3" s="1">
        <v>81730</v>
      </c>
      <c r="Q3" t="s">
        <v>284</v>
      </c>
      <c r="S3">
        <v>8338</v>
      </c>
      <c r="T3" t="s">
        <v>362</v>
      </c>
      <c r="V3" s="2">
        <v>85098</v>
      </c>
      <c r="W3" s="2" t="s">
        <v>291</v>
      </c>
    </row>
    <row r="4" spans="1:23" x14ac:dyDescent="0.25">
      <c r="A4" s="1" t="s">
        <v>160</v>
      </c>
      <c r="B4" s="1" t="s">
        <v>159</v>
      </c>
      <c r="C4" s="1" t="s">
        <v>7</v>
      </c>
      <c r="D4" s="1" t="s">
        <v>164</v>
      </c>
      <c r="E4" s="1" t="s">
        <v>165</v>
      </c>
      <c r="F4" s="1" t="s">
        <v>158</v>
      </c>
      <c r="G4" s="1" t="s">
        <v>9</v>
      </c>
      <c r="I4">
        <f>FIND("_FL",Changed_Type[[#This Row],[Column7]])</f>
        <v>12</v>
      </c>
      <c r="J4" t="str">
        <f>MID(Changed_Type[[#This Row],[Column7]],5,I4-7)</f>
        <v>82336</v>
      </c>
      <c r="M4" s="1">
        <v>82336</v>
      </c>
      <c r="N4" t="s">
        <v>285</v>
      </c>
      <c r="P4" s="1">
        <v>82336</v>
      </c>
      <c r="Q4" t="s">
        <v>285</v>
      </c>
      <c r="S4">
        <v>8574</v>
      </c>
      <c r="T4" t="s">
        <v>294</v>
      </c>
      <c r="V4" s="2">
        <v>8716</v>
      </c>
      <c r="W4" s="2" t="s">
        <v>309</v>
      </c>
    </row>
    <row r="5" spans="1:23" x14ac:dyDescent="0.25">
      <c r="A5" s="1" t="s">
        <v>160</v>
      </c>
      <c r="B5" s="1" t="s">
        <v>159</v>
      </c>
      <c r="C5" s="1" t="s">
        <v>7</v>
      </c>
      <c r="D5" s="1" t="s">
        <v>166</v>
      </c>
      <c r="E5" s="1" t="s">
        <v>167</v>
      </c>
      <c r="F5" s="1" t="s">
        <v>158</v>
      </c>
      <c r="G5" s="1" t="s">
        <v>10</v>
      </c>
      <c r="I5">
        <f>FIND("_FL",Changed_Type[[#This Row],[Column7]])</f>
        <v>12</v>
      </c>
      <c r="J5" t="str">
        <f>MID(Changed_Type[[#This Row],[Column7]],5,I5-7)</f>
        <v>82929</v>
      </c>
      <c r="M5" s="1">
        <v>82929</v>
      </c>
      <c r="N5" t="s">
        <v>286</v>
      </c>
      <c r="P5" s="1">
        <v>82929</v>
      </c>
      <c r="Q5" t="s">
        <v>286</v>
      </c>
      <c r="S5">
        <v>8574</v>
      </c>
      <c r="T5" t="s">
        <v>367</v>
      </c>
      <c r="V5" s="2">
        <v>9030</v>
      </c>
      <c r="W5" s="2" t="s">
        <v>348</v>
      </c>
    </row>
    <row r="6" spans="1:23" x14ac:dyDescent="0.25">
      <c r="A6" s="1" t="s">
        <v>160</v>
      </c>
      <c r="B6" s="1" t="s">
        <v>159</v>
      </c>
      <c r="C6" s="1" t="s">
        <v>7</v>
      </c>
      <c r="D6" s="1" t="s">
        <v>168</v>
      </c>
      <c r="E6" s="1" t="s">
        <v>162</v>
      </c>
      <c r="F6" s="1" t="s">
        <v>158</v>
      </c>
      <c r="G6" s="1" t="s">
        <v>11</v>
      </c>
      <c r="I6">
        <f>FIND("_FL",Changed_Type[[#This Row],[Column7]])</f>
        <v>12</v>
      </c>
      <c r="J6" t="str">
        <f>MID(Changed_Type[[#This Row],[Column7]],5,I6-7)</f>
        <v>83123</v>
      </c>
      <c r="M6" s="1">
        <v>83123</v>
      </c>
      <c r="N6" t="s">
        <v>287</v>
      </c>
      <c r="P6" s="1">
        <v>83123</v>
      </c>
      <c r="Q6" t="s">
        <v>287</v>
      </c>
      <c r="S6">
        <v>8602</v>
      </c>
      <c r="T6" t="s">
        <v>295</v>
      </c>
      <c r="V6" s="2">
        <v>9031</v>
      </c>
      <c r="W6" s="2" t="s">
        <v>420</v>
      </c>
    </row>
    <row r="7" spans="1:23" x14ac:dyDescent="0.25">
      <c r="A7" s="1" t="s">
        <v>160</v>
      </c>
      <c r="B7" s="1" t="s">
        <v>159</v>
      </c>
      <c r="C7" s="1" t="s">
        <v>7</v>
      </c>
      <c r="D7" s="1" t="s">
        <v>168</v>
      </c>
      <c r="E7" s="1" t="s">
        <v>167</v>
      </c>
      <c r="F7" s="1" t="s">
        <v>158</v>
      </c>
      <c r="G7" s="1" t="s">
        <v>12</v>
      </c>
      <c r="I7">
        <f>FIND("_FL",Changed_Type[[#This Row],[Column7]])</f>
        <v>12</v>
      </c>
      <c r="J7" t="str">
        <f>MID(Changed_Type[[#This Row],[Column7]],5,I7-7)</f>
        <v>83428</v>
      </c>
      <c r="M7" s="1">
        <v>83428</v>
      </c>
      <c r="N7" t="s">
        <v>288</v>
      </c>
      <c r="P7" s="1">
        <v>83428</v>
      </c>
      <c r="Q7" t="s">
        <v>288</v>
      </c>
      <c r="S7">
        <v>8602</v>
      </c>
      <c r="T7" t="s">
        <v>368</v>
      </c>
      <c r="V7" s="2">
        <v>9032</v>
      </c>
      <c r="W7" s="2" t="s">
        <v>421</v>
      </c>
    </row>
    <row r="8" spans="1:23" x14ac:dyDescent="0.25">
      <c r="A8" s="1" t="s">
        <v>160</v>
      </c>
      <c r="B8" s="1" t="s">
        <v>159</v>
      </c>
      <c r="C8" s="1" t="s">
        <v>7</v>
      </c>
      <c r="D8" s="1" t="s">
        <v>169</v>
      </c>
      <c r="E8" s="1" t="s">
        <v>162</v>
      </c>
      <c r="F8" s="1" t="s">
        <v>158</v>
      </c>
      <c r="G8" s="1" t="s">
        <v>13</v>
      </c>
      <c r="I8">
        <f>FIND("_FL",Changed_Type[[#This Row],[Column7]])</f>
        <v>12</v>
      </c>
      <c r="J8" t="str">
        <f>MID(Changed_Type[[#This Row],[Column7]],5,I8-7)</f>
        <v>83876</v>
      </c>
      <c r="M8" s="1">
        <v>83876</v>
      </c>
      <c r="N8" t="s">
        <v>289</v>
      </c>
      <c r="P8" s="1">
        <v>83876</v>
      </c>
      <c r="Q8" t="s">
        <v>289</v>
      </c>
      <c r="S8">
        <v>8603</v>
      </c>
      <c r="T8" t="s">
        <v>296</v>
      </c>
      <c r="V8" s="2">
        <v>9074</v>
      </c>
      <c r="W8" s="2" t="s">
        <v>423</v>
      </c>
    </row>
    <row r="9" spans="1:23" x14ac:dyDescent="0.25">
      <c r="A9" s="1" t="s">
        <v>160</v>
      </c>
      <c r="B9" s="1" t="s">
        <v>159</v>
      </c>
      <c r="C9" s="1" t="s">
        <v>7</v>
      </c>
      <c r="D9" s="1" t="s">
        <v>169</v>
      </c>
      <c r="E9" s="1" t="s">
        <v>170</v>
      </c>
      <c r="F9" s="1" t="s">
        <v>158</v>
      </c>
      <c r="G9" s="1" t="s">
        <v>14</v>
      </c>
      <c r="I9">
        <f>FIND("_FL",Changed_Type[[#This Row],[Column7]])</f>
        <v>12</v>
      </c>
      <c r="J9" t="str">
        <f>MID(Changed_Type[[#This Row],[Column7]],5,I9-7)</f>
        <v>84409</v>
      </c>
      <c r="M9" s="1">
        <v>84409</v>
      </c>
      <c r="N9" t="s">
        <v>290</v>
      </c>
      <c r="P9" s="1">
        <v>84409</v>
      </c>
      <c r="Q9" t="s">
        <v>290</v>
      </c>
      <c r="S9">
        <v>8603</v>
      </c>
      <c r="T9" t="s">
        <v>369</v>
      </c>
    </row>
    <row r="10" spans="1:23" x14ac:dyDescent="0.25">
      <c r="A10" s="1" t="s">
        <v>160</v>
      </c>
      <c r="B10" s="1" t="s">
        <v>159</v>
      </c>
      <c r="C10" s="1" t="s">
        <v>7</v>
      </c>
      <c r="D10" s="1" t="s">
        <v>171</v>
      </c>
      <c r="E10" s="1" t="s">
        <v>172</v>
      </c>
      <c r="F10" s="1" t="s">
        <v>158</v>
      </c>
      <c r="G10" s="1" t="s">
        <v>15</v>
      </c>
      <c r="I10">
        <f>FIND("_FL",Changed_Type[[#This Row],[Column7]])</f>
        <v>12</v>
      </c>
      <c r="J10" t="str">
        <f>MID(Changed_Type[[#This Row],[Column7]],5,I10-7)</f>
        <v>85098</v>
      </c>
      <c r="M10" s="1">
        <v>85098</v>
      </c>
      <c r="N10" t="s">
        <v>291</v>
      </c>
      <c r="P10" s="1">
        <v>85098</v>
      </c>
      <c r="Q10" t="s">
        <v>291</v>
      </c>
      <c r="S10">
        <v>8604</v>
      </c>
      <c r="T10" t="s">
        <v>297</v>
      </c>
    </row>
    <row r="11" spans="1:23" x14ac:dyDescent="0.25">
      <c r="A11" s="1" t="s">
        <v>160</v>
      </c>
      <c r="B11" s="1" t="s">
        <v>159</v>
      </c>
      <c r="C11" s="1" t="s">
        <v>7</v>
      </c>
      <c r="D11" s="1" t="s">
        <v>173</v>
      </c>
      <c r="E11" s="1" t="s">
        <v>174</v>
      </c>
      <c r="F11" s="1" t="s">
        <v>158</v>
      </c>
      <c r="G11" s="1" t="s">
        <v>16</v>
      </c>
      <c r="I11">
        <f>FIND("_FL",Changed_Type[[#This Row],[Column7]])</f>
        <v>12</v>
      </c>
      <c r="J11" t="str">
        <f>MID(Changed_Type[[#This Row],[Column7]],5,I11-7)</f>
        <v>85734</v>
      </c>
      <c r="M11" s="1">
        <v>85734</v>
      </c>
      <c r="N11" t="s">
        <v>292</v>
      </c>
      <c r="P11" s="1">
        <v>85734</v>
      </c>
      <c r="Q11" t="s">
        <v>292</v>
      </c>
      <c r="S11">
        <v>8604</v>
      </c>
      <c r="T11" t="s">
        <v>370</v>
      </c>
    </row>
    <row r="12" spans="1:23" x14ac:dyDescent="0.25">
      <c r="A12" s="1" t="s">
        <v>160</v>
      </c>
      <c r="B12" s="1" t="s">
        <v>159</v>
      </c>
      <c r="C12" s="1" t="s">
        <v>7</v>
      </c>
      <c r="D12" s="1" t="s">
        <v>161</v>
      </c>
      <c r="E12" s="1" t="s">
        <v>175</v>
      </c>
      <c r="F12" s="1" t="s">
        <v>158</v>
      </c>
      <c r="G12" s="1" t="s">
        <v>17</v>
      </c>
      <c r="I12">
        <f>FIND("_FL",Changed_Type[[#This Row],[Column7]])</f>
        <v>11</v>
      </c>
      <c r="J12" t="str">
        <f>MID(Changed_Type[[#This Row],[Column7]],5,I12-7)</f>
        <v>8338</v>
      </c>
      <c r="M12" s="1">
        <v>8338</v>
      </c>
      <c r="N12" t="s">
        <v>293</v>
      </c>
      <c r="P12" s="1">
        <v>8338</v>
      </c>
      <c r="Q12" t="s">
        <v>293</v>
      </c>
      <c r="S12">
        <v>8620</v>
      </c>
      <c r="T12" t="s">
        <v>298</v>
      </c>
    </row>
    <row r="13" spans="1:23" x14ac:dyDescent="0.25">
      <c r="A13" s="1" t="s">
        <v>160</v>
      </c>
      <c r="B13" s="1" t="s">
        <v>159</v>
      </c>
      <c r="C13" s="1" t="s">
        <v>7</v>
      </c>
      <c r="D13" s="1" t="s">
        <v>161</v>
      </c>
      <c r="E13" s="1" t="s">
        <v>176</v>
      </c>
      <c r="F13" s="1" t="s">
        <v>158</v>
      </c>
      <c r="G13" s="1" t="s">
        <v>18</v>
      </c>
      <c r="I13">
        <f>FIND("_FL",Changed_Type[[#This Row],[Column7]])</f>
        <v>11</v>
      </c>
      <c r="J13" t="str">
        <f>MID(Changed_Type[[#This Row],[Column7]],5,I13-7)</f>
        <v>8574</v>
      </c>
      <c r="M13" s="1">
        <v>8574</v>
      </c>
      <c r="N13" t="s">
        <v>294</v>
      </c>
      <c r="P13" s="1">
        <v>8574</v>
      </c>
      <c r="Q13" t="s">
        <v>294</v>
      </c>
      <c r="S13">
        <v>8620</v>
      </c>
      <c r="T13" t="s">
        <v>371</v>
      </c>
    </row>
    <row r="14" spans="1:23" x14ac:dyDescent="0.25">
      <c r="A14" s="1" t="s">
        <v>160</v>
      </c>
      <c r="B14" s="1" t="s">
        <v>159</v>
      </c>
      <c r="C14" s="1" t="s">
        <v>7</v>
      </c>
      <c r="D14" s="1" t="s">
        <v>163</v>
      </c>
      <c r="E14" s="1" t="s">
        <v>177</v>
      </c>
      <c r="F14" s="1" t="s">
        <v>158</v>
      </c>
      <c r="G14" s="1" t="s">
        <v>19</v>
      </c>
      <c r="I14">
        <f>FIND("_FL",Changed_Type[[#This Row],[Column7]])</f>
        <v>11</v>
      </c>
      <c r="J14" t="str">
        <f>MID(Changed_Type[[#This Row],[Column7]],5,I14-7)</f>
        <v>8602</v>
      </c>
      <c r="M14" s="1">
        <v>8602</v>
      </c>
      <c r="N14" t="s">
        <v>295</v>
      </c>
      <c r="P14" s="1">
        <v>8602</v>
      </c>
      <c r="Q14" t="s">
        <v>295</v>
      </c>
      <c r="S14">
        <v>8636</v>
      </c>
      <c r="T14" t="s">
        <v>299</v>
      </c>
    </row>
    <row r="15" spans="1:23" x14ac:dyDescent="0.25">
      <c r="A15" s="1" t="s">
        <v>160</v>
      </c>
      <c r="B15" s="1" t="s">
        <v>159</v>
      </c>
      <c r="C15" s="1" t="s">
        <v>7</v>
      </c>
      <c r="D15" s="1" t="s">
        <v>163</v>
      </c>
      <c r="E15" s="1" t="s">
        <v>178</v>
      </c>
      <c r="F15" s="1" t="s">
        <v>158</v>
      </c>
      <c r="G15" s="1" t="s">
        <v>20</v>
      </c>
      <c r="I15">
        <f>FIND("_FL",Changed_Type[[#This Row],[Column7]])</f>
        <v>11</v>
      </c>
      <c r="J15" t="str">
        <f>MID(Changed_Type[[#This Row],[Column7]],5,I15-7)</f>
        <v>8603</v>
      </c>
      <c r="M15" s="1">
        <v>8603</v>
      </c>
      <c r="N15" t="s">
        <v>296</v>
      </c>
      <c r="P15" s="1">
        <v>8603</v>
      </c>
      <c r="Q15" t="s">
        <v>296</v>
      </c>
      <c r="S15">
        <v>8636</v>
      </c>
      <c r="T15" t="s">
        <v>372</v>
      </c>
    </row>
    <row r="16" spans="1:23" x14ac:dyDescent="0.25">
      <c r="A16" s="1" t="s">
        <v>160</v>
      </c>
      <c r="B16" s="1" t="s">
        <v>159</v>
      </c>
      <c r="C16" s="1" t="s">
        <v>7</v>
      </c>
      <c r="D16" s="1" t="s">
        <v>163</v>
      </c>
      <c r="E16" s="1" t="s">
        <v>179</v>
      </c>
      <c r="F16" s="1" t="s">
        <v>158</v>
      </c>
      <c r="G16" s="1" t="s">
        <v>21</v>
      </c>
      <c r="I16">
        <f>FIND("_FL",Changed_Type[[#This Row],[Column7]])</f>
        <v>11</v>
      </c>
      <c r="J16" t="str">
        <f>MID(Changed_Type[[#This Row],[Column7]],5,I16-7)</f>
        <v>8604</v>
      </c>
      <c r="M16" s="1">
        <v>8604</v>
      </c>
      <c r="N16" t="s">
        <v>297</v>
      </c>
      <c r="P16" s="1">
        <v>8604</v>
      </c>
      <c r="Q16" t="s">
        <v>297</v>
      </c>
      <c r="S16">
        <v>8649</v>
      </c>
      <c r="T16" t="s">
        <v>300</v>
      </c>
    </row>
    <row r="17" spans="1:20" x14ac:dyDescent="0.25">
      <c r="A17" s="1" t="s">
        <v>160</v>
      </c>
      <c r="B17" s="1" t="s">
        <v>159</v>
      </c>
      <c r="C17" s="1" t="s">
        <v>7</v>
      </c>
      <c r="D17" s="1" t="s">
        <v>163</v>
      </c>
      <c r="E17" s="1" t="s">
        <v>180</v>
      </c>
      <c r="F17" s="1" t="s">
        <v>158</v>
      </c>
      <c r="G17" s="1" t="s">
        <v>22</v>
      </c>
      <c r="I17">
        <f>FIND("_FL",Changed_Type[[#This Row],[Column7]])</f>
        <v>11</v>
      </c>
      <c r="J17" t="str">
        <f>MID(Changed_Type[[#This Row],[Column7]],5,I17-7)</f>
        <v>8620</v>
      </c>
      <c r="M17" s="1">
        <v>8620</v>
      </c>
      <c r="N17" t="s">
        <v>298</v>
      </c>
      <c r="P17" s="1">
        <v>8620</v>
      </c>
      <c r="Q17" t="s">
        <v>298</v>
      </c>
      <c r="S17">
        <v>8649</v>
      </c>
      <c r="T17" t="s">
        <v>373</v>
      </c>
    </row>
    <row r="18" spans="1:20" x14ac:dyDescent="0.25">
      <c r="A18" s="1" t="s">
        <v>160</v>
      </c>
      <c r="B18" s="1" t="s">
        <v>159</v>
      </c>
      <c r="C18" s="1" t="s">
        <v>7</v>
      </c>
      <c r="D18" s="1" t="s">
        <v>163</v>
      </c>
      <c r="E18" s="1" t="s">
        <v>177</v>
      </c>
      <c r="F18" s="1" t="s">
        <v>158</v>
      </c>
      <c r="G18" s="1" t="s">
        <v>23</v>
      </c>
      <c r="I18">
        <f>FIND("_FL",Changed_Type[[#This Row],[Column7]])</f>
        <v>11</v>
      </c>
      <c r="J18" t="str">
        <f>MID(Changed_Type[[#This Row],[Column7]],5,I18-7)</f>
        <v>8636</v>
      </c>
      <c r="M18" s="1">
        <v>8636</v>
      </c>
      <c r="N18" t="s">
        <v>299</v>
      </c>
      <c r="P18" s="1">
        <v>8636</v>
      </c>
      <c r="Q18" t="s">
        <v>299</v>
      </c>
      <c r="S18">
        <v>8650</v>
      </c>
      <c r="T18" t="s">
        <v>301</v>
      </c>
    </row>
    <row r="19" spans="1:20" x14ac:dyDescent="0.25">
      <c r="A19" s="1" t="s">
        <v>160</v>
      </c>
      <c r="B19" s="1" t="s">
        <v>159</v>
      </c>
      <c r="C19" s="1" t="s">
        <v>7</v>
      </c>
      <c r="D19" s="1" t="s">
        <v>163</v>
      </c>
      <c r="E19" s="1" t="s">
        <v>175</v>
      </c>
      <c r="F19" s="1" t="s">
        <v>158</v>
      </c>
      <c r="G19" s="1" t="s">
        <v>24</v>
      </c>
      <c r="I19">
        <f>FIND("_FL",Changed_Type[[#This Row],[Column7]])</f>
        <v>11</v>
      </c>
      <c r="J19" t="str">
        <f>MID(Changed_Type[[#This Row],[Column7]],5,I19-7)</f>
        <v>8649</v>
      </c>
      <c r="M19" s="1">
        <v>8649</v>
      </c>
      <c r="N19" t="s">
        <v>300</v>
      </c>
      <c r="P19" s="1">
        <v>8649</v>
      </c>
      <c r="Q19" t="s">
        <v>300</v>
      </c>
      <c r="S19">
        <v>8650</v>
      </c>
      <c r="T19" t="s">
        <v>374</v>
      </c>
    </row>
    <row r="20" spans="1:20" x14ac:dyDescent="0.25">
      <c r="A20" s="1" t="s">
        <v>160</v>
      </c>
      <c r="B20" s="1" t="s">
        <v>159</v>
      </c>
      <c r="C20" s="1" t="s">
        <v>7</v>
      </c>
      <c r="D20" s="1" t="s">
        <v>163</v>
      </c>
      <c r="E20" s="1" t="s">
        <v>167</v>
      </c>
      <c r="F20" s="1" t="s">
        <v>158</v>
      </c>
      <c r="G20" s="1" t="s">
        <v>25</v>
      </c>
      <c r="I20">
        <f>FIND("_FL",Changed_Type[[#This Row],[Column7]])</f>
        <v>11</v>
      </c>
      <c r="J20" t="str">
        <f>MID(Changed_Type[[#This Row],[Column7]],5,I20-7)</f>
        <v>8650</v>
      </c>
      <c r="M20" s="1">
        <v>8650</v>
      </c>
      <c r="N20" t="s">
        <v>301</v>
      </c>
      <c r="P20" s="1">
        <v>8650</v>
      </c>
      <c r="Q20" t="s">
        <v>301</v>
      </c>
      <c r="S20">
        <v>8666</v>
      </c>
      <c r="T20" t="s">
        <v>302</v>
      </c>
    </row>
    <row r="21" spans="1:20" x14ac:dyDescent="0.25">
      <c r="A21" s="1" t="s">
        <v>160</v>
      </c>
      <c r="B21" s="1" t="s">
        <v>159</v>
      </c>
      <c r="C21" s="1" t="s">
        <v>7</v>
      </c>
      <c r="D21" s="1" t="s">
        <v>163</v>
      </c>
      <c r="E21" s="1" t="s">
        <v>177</v>
      </c>
      <c r="F21" s="1" t="s">
        <v>158</v>
      </c>
      <c r="G21" s="1" t="s">
        <v>26</v>
      </c>
      <c r="I21">
        <f>FIND("_FL",Changed_Type[[#This Row],[Column7]])</f>
        <v>11</v>
      </c>
      <c r="J21" t="str">
        <f>MID(Changed_Type[[#This Row],[Column7]],5,I21-7)</f>
        <v>8666</v>
      </c>
      <c r="M21" s="1">
        <v>8666</v>
      </c>
      <c r="N21" t="s">
        <v>302</v>
      </c>
      <c r="P21" s="1">
        <v>8666</v>
      </c>
      <c r="Q21" t="s">
        <v>302</v>
      </c>
      <c r="S21">
        <v>8666</v>
      </c>
      <c r="T21" t="s">
        <v>375</v>
      </c>
    </row>
    <row r="22" spans="1:20" x14ac:dyDescent="0.25">
      <c r="A22" s="1" t="s">
        <v>160</v>
      </c>
      <c r="B22" s="1" t="s">
        <v>159</v>
      </c>
      <c r="C22" s="1" t="s">
        <v>7</v>
      </c>
      <c r="D22" s="1" t="s">
        <v>163</v>
      </c>
      <c r="E22" s="1" t="s">
        <v>181</v>
      </c>
      <c r="F22" s="1" t="s">
        <v>158</v>
      </c>
      <c r="G22" s="1" t="s">
        <v>27</v>
      </c>
      <c r="I22">
        <f>FIND("_FL",Changed_Type[[#This Row],[Column7]])</f>
        <v>11</v>
      </c>
      <c r="J22" t="str">
        <f>MID(Changed_Type[[#This Row],[Column7]],5,I22-7)</f>
        <v>8667</v>
      </c>
      <c r="M22" s="1">
        <v>8667</v>
      </c>
      <c r="N22" t="s">
        <v>303</v>
      </c>
      <c r="P22" s="1">
        <v>8667</v>
      </c>
      <c r="Q22" t="s">
        <v>303</v>
      </c>
      <c r="S22">
        <v>8667</v>
      </c>
      <c r="T22" t="s">
        <v>303</v>
      </c>
    </row>
    <row r="23" spans="1:20" x14ac:dyDescent="0.25">
      <c r="A23" s="1" t="s">
        <v>160</v>
      </c>
      <c r="B23" s="1" t="s">
        <v>159</v>
      </c>
      <c r="C23" s="1" t="s">
        <v>7</v>
      </c>
      <c r="D23" s="1" t="s">
        <v>163</v>
      </c>
      <c r="E23" s="1" t="s">
        <v>181</v>
      </c>
      <c r="F23" s="1" t="s">
        <v>158</v>
      </c>
      <c r="G23" s="1" t="s">
        <v>28</v>
      </c>
      <c r="I23">
        <f>FIND("_FL",Changed_Type[[#This Row],[Column7]])</f>
        <v>11</v>
      </c>
      <c r="J23" t="str">
        <f>MID(Changed_Type[[#This Row],[Column7]],5,I23-7)</f>
        <v>8668</v>
      </c>
      <c r="M23" s="1">
        <v>8668</v>
      </c>
      <c r="N23" t="s">
        <v>304</v>
      </c>
      <c r="P23" s="1">
        <v>8668</v>
      </c>
      <c r="Q23" t="s">
        <v>304</v>
      </c>
      <c r="S23">
        <v>8667</v>
      </c>
      <c r="T23" t="s">
        <v>376</v>
      </c>
    </row>
    <row r="24" spans="1:20" x14ac:dyDescent="0.25">
      <c r="A24" s="1" t="s">
        <v>160</v>
      </c>
      <c r="B24" s="1" t="s">
        <v>159</v>
      </c>
      <c r="C24" s="1" t="s">
        <v>7</v>
      </c>
      <c r="D24" s="1" t="s">
        <v>164</v>
      </c>
      <c r="E24" s="1" t="s">
        <v>182</v>
      </c>
      <c r="F24" s="1" t="s">
        <v>158</v>
      </c>
      <c r="G24" s="1" t="s">
        <v>29</v>
      </c>
      <c r="I24">
        <f>FIND("_FL",Changed_Type[[#This Row],[Column7]])</f>
        <v>11</v>
      </c>
      <c r="J24" t="str">
        <f>MID(Changed_Type[[#This Row],[Column7]],5,I24-7)</f>
        <v>8678</v>
      </c>
      <c r="M24" s="1">
        <v>8678</v>
      </c>
      <c r="N24" t="s">
        <v>305</v>
      </c>
      <c r="P24" s="1">
        <v>8678</v>
      </c>
      <c r="Q24" t="s">
        <v>305</v>
      </c>
      <c r="S24">
        <v>8668</v>
      </c>
      <c r="T24" t="s">
        <v>304</v>
      </c>
    </row>
    <row r="25" spans="1:20" x14ac:dyDescent="0.25">
      <c r="A25" s="1" t="s">
        <v>160</v>
      </c>
      <c r="B25" s="1" t="s">
        <v>159</v>
      </c>
      <c r="C25" s="1" t="s">
        <v>7</v>
      </c>
      <c r="D25" s="1" t="s">
        <v>164</v>
      </c>
      <c r="E25" s="1" t="s">
        <v>183</v>
      </c>
      <c r="F25" s="1" t="s">
        <v>158</v>
      </c>
      <c r="G25" s="1" t="s">
        <v>30</v>
      </c>
      <c r="I25">
        <f>FIND("_FL",Changed_Type[[#This Row],[Column7]])</f>
        <v>11</v>
      </c>
      <c r="J25" t="str">
        <f>MID(Changed_Type[[#This Row],[Column7]],5,I25-7)</f>
        <v>8695</v>
      </c>
      <c r="M25" s="1">
        <v>8695</v>
      </c>
      <c r="N25" t="s">
        <v>306</v>
      </c>
      <c r="P25" s="1">
        <v>8695</v>
      </c>
      <c r="Q25" t="s">
        <v>306</v>
      </c>
      <c r="S25">
        <v>8668</v>
      </c>
      <c r="T25" t="s">
        <v>377</v>
      </c>
    </row>
    <row r="26" spans="1:20" x14ac:dyDescent="0.25">
      <c r="A26" s="1" t="s">
        <v>160</v>
      </c>
      <c r="B26" s="1" t="s">
        <v>159</v>
      </c>
      <c r="C26" s="1" t="s">
        <v>7</v>
      </c>
      <c r="D26" s="1" t="s">
        <v>164</v>
      </c>
      <c r="E26" s="1" t="s">
        <v>184</v>
      </c>
      <c r="F26" s="1" t="s">
        <v>158</v>
      </c>
      <c r="G26" s="1" t="s">
        <v>31</v>
      </c>
      <c r="I26">
        <f>FIND("_FL",Changed_Type[[#This Row],[Column7]])</f>
        <v>11</v>
      </c>
      <c r="J26" t="str">
        <f>MID(Changed_Type[[#This Row],[Column7]],5,I26-7)</f>
        <v>8697</v>
      </c>
      <c r="M26" s="1">
        <v>8697</v>
      </c>
      <c r="N26" t="s">
        <v>307</v>
      </c>
      <c r="P26" s="1">
        <v>8697</v>
      </c>
      <c r="Q26" t="s">
        <v>307</v>
      </c>
      <c r="S26">
        <v>8678</v>
      </c>
      <c r="T26" t="s">
        <v>305</v>
      </c>
    </row>
    <row r="27" spans="1:20" x14ac:dyDescent="0.25">
      <c r="A27" s="1" t="s">
        <v>160</v>
      </c>
      <c r="B27" s="1" t="s">
        <v>159</v>
      </c>
      <c r="C27" s="1" t="s">
        <v>7</v>
      </c>
      <c r="D27" s="1" t="s">
        <v>164</v>
      </c>
      <c r="E27" s="1" t="s">
        <v>185</v>
      </c>
      <c r="F27" s="1" t="s">
        <v>158</v>
      </c>
      <c r="G27" s="1" t="s">
        <v>32</v>
      </c>
      <c r="I27">
        <f>FIND("_FL",Changed_Type[[#This Row],[Column7]])</f>
        <v>11</v>
      </c>
      <c r="J27" t="str">
        <f>MID(Changed_Type[[#This Row],[Column7]],5,I27-7)</f>
        <v>8715</v>
      </c>
      <c r="M27" s="1">
        <v>8715</v>
      </c>
      <c r="N27" t="s">
        <v>308</v>
      </c>
      <c r="P27" s="1">
        <v>8715</v>
      </c>
      <c r="Q27" t="s">
        <v>308</v>
      </c>
      <c r="S27">
        <v>8678</v>
      </c>
      <c r="T27" t="s">
        <v>378</v>
      </c>
    </row>
    <row r="28" spans="1:20" x14ac:dyDescent="0.25">
      <c r="A28" s="1" t="s">
        <v>160</v>
      </c>
      <c r="B28" s="1" t="s">
        <v>159</v>
      </c>
      <c r="C28" s="1" t="s">
        <v>7</v>
      </c>
      <c r="D28" s="1" t="s">
        <v>164</v>
      </c>
      <c r="E28" s="1" t="s">
        <v>177</v>
      </c>
      <c r="F28" s="1" t="s">
        <v>158</v>
      </c>
      <c r="G28" s="1" t="s">
        <v>33</v>
      </c>
      <c r="I28">
        <f>FIND("_FL",Changed_Type[[#This Row],[Column7]])</f>
        <v>11</v>
      </c>
      <c r="J28" t="str">
        <f>MID(Changed_Type[[#This Row],[Column7]],5,I28-7)</f>
        <v>8716</v>
      </c>
      <c r="M28" s="1">
        <v>8716</v>
      </c>
      <c r="N28" t="s">
        <v>309</v>
      </c>
      <c r="P28" s="1">
        <v>8716</v>
      </c>
      <c r="Q28" t="s">
        <v>309</v>
      </c>
      <c r="S28">
        <v>8695</v>
      </c>
      <c r="T28" t="s">
        <v>306</v>
      </c>
    </row>
    <row r="29" spans="1:20" x14ac:dyDescent="0.25">
      <c r="A29" s="1" t="s">
        <v>160</v>
      </c>
      <c r="B29" s="1" t="s">
        <v>159</v>
      </c>
      <c r="C29" s="1" t="s">
        <v>7</v>
      </c>
      <c r="D29" s="1" t="s">
        <v>164</v>
      </c>
      <c r="E29" s="1" t="s">
        <v>186</v>
      </c>
      <c r="F29" s="1" t="s">
        <v>158</v>
      </c>
      <c r="G29" s="1" t="s">
        <v>34</v>
      </c>
      <c r="I29">
        <f>FIND("_FL",Changed_Type[[#This Row],[Column7]])</f>
        <v>11</v>
      </c>
      <c r="J29" t="str">
        <f>MID(Changed_Type[[#This Row],[Column7]],5,I29-7)</f>
        <v>8717</v>
      </c>
      <c r="M29" s="1">
        <v>8717</v>
      </c>
      <c r="N29" t="s">
        <v>310</v>
      </c>
      <c r="P29" s="1">
        <v>8717</v>
      </c>
      <c r="Q29" t="s">
        <v>310</v>
      </c>
      <c r="S29">
        <v>8695</v>
      </c>
      <c r="T29" t="s">
        <v>379</v>
      </c>
    </row>
    <row r="30" spans="1:20" x14ac:dyDescent="0.25">
      <c r="A30" s="1" t="s">
        <v>160</v>
      </c>
      <c r="B30" s="1" t="s">
        <v>159</v>
      </c>
      <c r="C30" s="1" t="s">
        <v>7</v>
      </c>
      <c r="D30" s="1" t="s">
        <v>166</v>
      </c>
      <c r="E30" s="1" t="s">
        <v>177</v>
      </c>
      <c r="F30" s="1" t="s">
        <v>158</v>
      </c>
      <c r="G30" s="1" t="s">
        <v>35</v>
      </c>
      <c r="I30">
        <f>FIND("_FL",Changed_Type[[#This Row],[Column7]])</f>
        <v>11</v>
      </c>
      <c r="J30" t="str">
        <f>MID(Changed_Type[[#This Row],[Column7]],5,I30-7)</f>
        <v>8728</v>
      </c>
      <c r="M30" s="1">
        <v>8728</v>
      </c>
      <c r="N30" t="s">
        <v>311</v>
      </c>
      <c r="P30" s="1">
        <v>8728</v>
      </c>
      <c r="Q30" t="s">
        <v>311</v>
      </c>
      <c r="S30">
        <v>8697</v>
      </c>
      <c r="T30" t="s">
        <v>307</v>
      </c>
    </row>
    <row r="31" spans="1:20" x14ac:dyDescent="0.25">
      <c r="A31" s="1" t="s">
        <v>160</v>
      </c>
      <c r="B31" s="1" t="s">
        <v>159</v>
      </c>
      <c r="C31" s="1" t="s">
        <v>7</v>
      </c>
      <c r="D31" s="1" t="s">
        <v>164</v>
      </c>
      <c r="E31" s="1" t="s">
        <v>187</v>
      </c>
      <c r="F31" s="1" t="s">
        <v>158</v>
      </c>
      <c r="G31" s="1" t="s">
        <v>36</v>
      </c>
      <c r="I31">
        <f>FIND("_FL",Changed_Type[[#This Row],[Column7]])</f>
        <v>11</v>
      </c>
      <c r="J31" t="str">
        <f>MID(Changed_Type[[#This Row],[Column7]],5,I31-7)</f>
        <v>8729</v>
      </c>
      <c r="M31" s="1">
        <v>8729</v>
      </c>
      <c r="N31" t="s">
        <v>312</v>
      </c>
      <c r="P31" s="1">
        <v>8729</v>
      </c>
      <c r="Q31" t="s">
        <v>312</v>
      </c>
      <c r="S31">
        <v>8697</v>
      </c>
      <c r="T31" t="s">
        <v>380</v>
      </c>
    </row>
    <row r="32" spans="1:20" x14ac:dyDescent="0.25">
      <c r="A32" s="1" t="s">
        <v>160</v>
      </c>
      <c r="B32" s="1" t="s">
        <v>159</v>
      </c>
      <c r="C32" s="1" t="s">
        <v>7</v>
      </c>
      <c r="D32" s="1" t="s">
        <v>166</v>
      </c>
      <c r="E32" s="1" t="s">
        <v>179</v>
      </c>
      <c r="F32" s="1" t="s">
        <v>158</v>
      </c>
      <c r="G32" s="1" t="s">
        <v>37</v>
      </c>
      <c r="I32">
        <f>FIND("_FL",Changed_Type[[#This Row],[Column7]])</f>
        <v>11</v>
      </c>
      <c r="J32" t="str">
        <f>MID(Changed_Type[[#This Row],[Column7]],5,I32-7)</f>
        <v>8730</v>
      </c>
      <c r="M32" s="1">
        <v>8730</v>
      </c>
      <c r="N32" t="s">
        <v>313</v>
      </c>
      <c r="P32" s="1">
        <v>8730</v>
      </c>
      <c r="Q32" t="s">
        <v>313</v>
      </c>
      <c r="S32">
        <v>8715</v>
      </c>
      <c r="T32" t="s">
        <v>308</v>
      </c>
    </row>
    <row r="33" spans="1:20" x14ac:dyDescent="0.25">
      <c r="A33" s="1" t="s">
        <v>160</v>
      </c>
      <c r="B33" s="1" t="s">
        <v>159</v>
      </c>
      <c r="C33" s="1" t="s">
        <v>7</v>
      </c>
      <c r="D33" s="1" t="s">
        <v>166</v>
      </c>
      <c r="E33" s="1" t="s">
        <v>188</v>
      </c>
      <c r="F33" s="1" t="s">
        <v>158</v>
      </c>
      <c r="G33" s="1" t="s">
        <v>38</v>
      </c>
      <c r="I33">
        <f>FIND("_FL",Changed_Type[[#This Row],[Column7]])</f>
        <v>11</v>
      </c>
      <c r="J33" t="str">
        <f>MID(Changed_Type[[#This Row],[Column7]],5,I33-7)</f>
        <v>8740</v>
      </c>
      <c r="M33" s="1">
        <v>8740</v>
      </c>
      <c r="N33" t="s">
        <v>314</v>
      </c>
      <c r="P33" s="1">
        <v>8740</v>
      </c>
      <c r="Q33" t="s">
        <v>314</v>
      </c>
      <c r="S33">
        <v>8715</v>
      </c>
      <c r="T33" t="s">
        <v>381</v>
      </c>
    </row>
    <row r="34" spans="1:20" x14ac:dyDescent="0.25">
      <c r="A34" s="1" t="s">
        <v>160</v>
      </c>
      <c r="B34" s="1" t="s">
        <v>159</v>
      </c>
      <c r="C34" s="1" t="s">
        <v>7</v>
      </c>
      <c r="D34" s="1" t="s">
        <v>166</v>
      </c>
      <c r="E34" s="1" t="s">
        <v>189</v>
      </c>
      <c r="F34" s="1" t="s">
        <v>158</v>
      </c>
      <c r="G34" s="1" t="s">
        <v>39</v>
      </c>
      <c r="I34">
        <f>FIND("_FL",Changed_Type[[#This Row],[Column7]])</f>
        <v>11</v>
      </c>
      <c r="J34" t="str">
        <f>MID(Changed_Type[[#This Row],[Column7]],5,I34-7)</f>
        <v>8756</v>
      </c>
      <c r="M34" s="1">
        <v>8756</v>
      </c>
      <c r="N34" t="s">
        <v>315</v>
      </c>
      <c r="P34" s="1">
        <v>8756</v>
      </c>
      <c r="Q34" t="s">
        <v>315</v>
      </c>
      <c r="S34" s="2">
        <v>8716</v>
      </c>
      <c r="T34" s="2" t="s">
        <v>309</v>
      </c>
    </row>
    <row r="35" spans="1:20" x14ac:dyDescent="0.25">
      <c r="A35" s="1" t="s">
        <v>160</v>
      </c>
      <c r="B35" s="1" t="s">
        <v>159</v>
      </c>
      <c r="C35" s="1" t="s">
        <v>7</v>
      </c>
      <c r="D35" s="1" t="s">
        <v>166</v>
      </c>
      <c r="E35" s="1" t="s">
        <v>190</v>
      </c>
      <c r="F35" s="1" t="s">
        <v>158</v>
      </c>
      <c r="G35" s="1" t="s">
        <v>40</v>
      </c>
      <c r="I35">
        <f>FIND("_FL",Changed_Type[[#This Row],[Column7]])</f>
        <v>11</v>
      </c>
      <c r="J35" t="str">
        <f>MID(Changed_Type[[#This Row],[Column7]],5,I35-7)</f>
        <v>8768</v>
      </c>
      <c r="M35" s="1">
        <v>8768</v>
      </c>
      <c r="N35" t="s">
        <v>316</v>
      </c>
      <c r="P35" s="1">
        <v>8768</v>
      </c>
      <c r="Q35" t="s">
        <v>316</v>
      </c>
      <c r="S35">
        <v>8717</v>
      </c>
      <c r="T35" t="s">
        <v>310</v>
      </c>
    </row>
    <row r="36" spans="1:20" x14ac:dyDescent="0.25">
      <c r="A36" s="1" t="s">
        <v>160</v>
      </c>
      <c r="B36" s="1" t="s">
        <v>159</v>
      </c>
      <c r="C36" s="1" t="s">
        <v>7</v>
      </c>
      <c r="D36" s="1" t="s">
        <v>166</v>
      </c>
      <c r="E36" s="1" t="s">
        <v>191</v>
      </c>
      <c r="F36" s="1" t="s">
        <v>158</v>
      </c>
      <c r="G36" s="1" t="s">
        <v>41</v>
      </c>
      <c r="I36">
        <f>FIND("_FL",Changed_Type[[#This Row],[Column7]])</f>
        <v>11</v>
      </c>
      <c r="J36" t="str">
        <f>MID(Changed_Type[[#This Row],[Column7]],5,I36-7)</f>
        <v>8769</v>
      </c>
      <c r="M36" s="1">
        <v>8769</v>
      </c>
      <c r="N36" t="s">
        <v>317</v>
      </c>
      <c r="P36" s="1">
        <v>8769</v>
      </c>
      <c r="Q36" t="s">
        <v>317</v>
      </c>
      <c r="S36">
        <v>8717</v>
      </c>
      <c r="T36" t="s">
        <v>382</v>
      </c>
    </row>
    <row r="37" spans="1:20" x14ac:dyDescent="0.25">
      <c r="A37" s="1" t="s">
        <v>160</v>
      </c>
      <c r="B37" s="1" t="s">
        <v>159</v>
      </c>
      <c r="C37" s="1" t="s">
        <v>7</v>
      </c>
      <c r="D37" s="1" t="s">
        <v>168</v>
      </c>
      <c r="E37" s="1" t="s">
        <v>180</v>
      </c>
      <c r="F37" s="1" t="s">
        <v>158</v>
      </c>
      <c r="G37" s="1" t="s">
        <v>42</v>
      </c>
      <c r="I37">
        <f>FIND("_FL",Changed_Type[[#This Row],[Column7]])</f>
        <v>11</v>
      </c>
      <c r="J37" t="str">
        <f>MID(Changed_Type[[#This Row],[Column7]],5,I37-7)</f>
        <v>8789</v>
      </c>
      <c r="M37" s="1">
        <v>8789</v>
      </c>
      <c r="N37" t="s">
        <v>318</v>
      </c>
      <c r="P37" s="1">
        <v>8789</v>
      </c>
      <c r="Q37" t="s">
        <v>318</v>
      </c>
      <c r="S37">
        <v>8728</v>
      </c>
      <c r="T37" t="s">
        <v>311</v>
      </c>
    </row>
    <row r="38" spans="1:20" x14ac:dyDescent="0.25">
      <c r="A38" s="1" t="s">
        <v>160</v>
      </c>
      <c r="B38" s="1" t="s">
        <v>159</v>
      </c>
      <c r="C38" s="1" t="s">
        <v>7</v>
      </c>
      <c r="D38" s="1" t="s">
        <v>166</v>
      </c>
      <c r="E38" s="1" t="s">
        <v>192</v>
      </c>
      <c r="F38" s="1" t="s">
        <v>158</v>
      </c>
      <c r="G38" s="1" t="s">
        <v>43</v>
      </c>
      <c r="I38">
        <f>FIND("_FL",Changed_Type[[#This Row],[Column7]])</f>
        <v>11</v>
      </c>
      <c r="J38" t="str">
        <f>MID(Changed_Type[[#This Row],[Column7]],5,I38-7)</f>
        <v>8790</v>
      </c>
      <c r="M38" s="1">
        <v>8790</v>
      </c>
      <c r="N38" t="s">
        <v>319</v>
      </c>
      <c r="P38" s="1">
        <v>8790</v>
      </c>
      <c r="Q38" t="s">
        <v>319</v>
      </c>
      <c r="S38">
        <v>8728</v>
      </c>
      <c r="T38" t="s">
        <v>383</v>
      </c>
    </row>
    <row r="39" spans="1:20" x14ac:dyDescent="0.25">
      <c r="A39" s="1" t="s">
        <v>160</v>
      </c>
      <c r="B39" s="1" t="s">
        <v>159</v>
      </c>
      <c r="C39" s="1" t="s">
        <v>7</v>
      </c>
      <c r="D39" s="1" t="s">
        <v>166</v>
      </c>
      <c r="E39" s="1" t="s">
        <v>187</v>
      </c>
      <c r="F39" s="1" t="s">
        <v>158</v>
      </c>
      <c r="G39" s="1" t="s">
        <v>44</v>
      </c>
      <c r="I39">
        <f>FIND("_FL",Changed_Type[[#This Row],[Column7]])</f>
        <v>11</v>
      </c>
      <c r="J39" t="str">
        <f>MID(Changed_Type[[#This Row],[Column7]],5,I39-7)</f>
        <v>8791</v>
      </c>
      <c r="M39" s="1">
        <v>8791</v>
      </c>
      <c r="N39" t="s">
        <v>320</v>
      </c>
      <c r="P39" s="1">
        <v>8791</v>
      </c>
      <c r="Q39" t="s">
        <v>320</v>
      </c>
      <c r="S39">
        <v>8729</v>
      </c>
      <c r="T39" t="s">
        <v>312</v>
      </c>
    </row>
    <row r="40" spans="1:20" x14ac:dyDescent="0.25">
      <c r="A40" s="1" t="s">
        <v>160</v>
      </c>
      <c r="B40" s="1" t="s">
        <v>159</v>
      </c>
      <c r="C40" s="1" t="s">
        <v>7</v>
      </c>
      <c r="D40" s="1" t="s">
        <v>168</v>
      </c>
      <c r="E40" s="1" t="s">
        <v>193</v>
      </c>
      <c r="F40" s="1" t="s">
        <v>158</v>
      </c>
      <c r="G40" s="1" t="s">
        <v>45</v>
      </c>
      <c r="I40">
        <f>FIND("_FL",Changed_Type[[#This Row],[Column7]])</f>
        <v>11</v>
      </c>
      <c r="J40" t="str">
        <f>MID(Changed_Type[[#This Row],[Column7]],5,I40-7)</f>
        <v>8833</v>
      </c>
      <c r="M40" s="1">
        <v>8833</v>
      </c>
      <c r="N40" t="s">
        <v>321</v>
      </c>
      <c r="P40" s="1">
        <v>8833</v>
      </c>
      <c r="Q40" t="s">
        <v>321</v>
      </c>
      <c r="S40">
        <v>8729</v>
      </c>
      <c r="T40" t="s">
        <v>384</v>
      </c>
    </row>
    <row r="41" spans="1:20" x14ac:dyDescent="0.25">
      <c r="A41" s="1" t="s">
        <v>160</v>
      </c>
      <c r="B41" s="1" t="s">
        <v>159</v>
      </c>
      <c r="C41" s="1" t="s">
        <v>7</v>
      </c>
      <c r="D41" s="1" t="s">
        <v>168</v>
      </c>
      <c r="E41" s="1" t="s">
        <v>194</v>
      </c>
      <c r="F41" s="1" t="s">
        <v>158</v>
      </c>
      <c r="G41" s="1" t="s">
        <v>46</v>
      </c>
      <c r="I41">
        <f>FIND("_FL",Changed_Type[[#This Row],[Column7]])</f>
        <v>11</v>
      </c>
      <c r="J41" t="str">
        <f>MID(Changed_Type[[#This Row],[Column7]],5,I41-7)</f>
        <v>8835</v>
      </c>
      <c r="M41" s="1">
        <v>8835</v>
      </c>
      <c r="N41" t="s">
        <v>322</v>
      </c>
      <c r="P41" s="1">
        <v>8835</v>
      </c>
      <c r="Q41" t="s">
        <v>322</v>
      </c>
      <c r="S41">
        <v>8730</v>
      </c>
      <c r="T41" t="s">
        <v>313</v>
      </c>
    </row>
    <row r="42" spans="1:20" x14ac:dyDescent="0.25">
      <c r="A42" s="1" t="s">
        <v>160</v>
      </c>
      <c r="B42" s="1" t="s">
        <v>159</v>
      </c>
      <c r="C42" s="1" t="s">
        <v>7</v>
      </c>
      <c r="D42" s="1" t="s">
        <v>168</v>
      </c>
      <c r="E42" s="1" t="s">
        <v>175</v>
      </c>
      <c r="F42" s="1" t="s">
        <v>158</v>
      </c>
      <c r="G42" s="1" t="s">
        <v>47</v>
      </c>
      <c r="I42">
        <f>FIND("_FL",Changed_Type[[#This Row],[Column7]])</f>
        <v>11</v>
      </c>
      <c r="J42" t="str">
        <f>MID(Changed_Type[[#This Row],[Column7]],5,I42-7)</f>
        <v>8842</v>
      </c>
      <c r="M42" s="1">
        <v>8842</v>
      </c>
      <c r="N42" t="s">
        <v>323</v>
      </c>
      <c r="P42" s="1">
        <v>8842</v>
      </c>
      <c r="Q42" t="s">
        <v>323</v>
      </c>
      <c r="S42">
        <v>8730</v>
      </c>
      <c r="T42" t="s">
        <v>385</v>
      </c>
    </row>
    <row r="43" spans="1:20" x14ac:dyDescent="0.25">
      <c r="A43" s="1" t="s">
        <v>160</v>
      </c>
      <c r="B43" s="1" t="s">
        <v>159</v>
      </c>
      <c r="C43" s="1" t="s">
        <v>7</v>
      </c>
      <c r="D43" s="1" t="s">
        <v>168</v>
      </c>
      <c r="E43" s="1" t="s">
        <v>170</v>
      </c>
      <c r="F43" s="1" t="s">
        <v>158</v>
      </c>
      <c r="G43" s="1" t="s">
        <v>48</v>
      </c>
      <c r="I43">
        <f>FIND("_FL",Changed_Type[[#This Row],[Column7]])</f>
        <v>11</v>
      </c>
      <c r="J43" t="str">
        <f>MID(Changed_Type[[#This Row],[Column7]],5,I43-7)</f>
        <v>8843</v>
      </c>
      <c r="M43" s="1">
        <v>8843</v>
      </c>
      <c r="N43" t="s">
        <v>324</v>
      </c>
      <c r="P43" s="1">
        <v>8843</v>
      </c>
      <c r="Q43" t="s">
        <v>324</v>
      </c>
      <c r="S43">
        <v>8740</v>
      </c>
      <c r="T43" t="s">
        <v>314</v>
      </c>
    </row>
    <row r="44" spans="1:20" x14ac:dyDescent="0.25">
      <c r="A44" s="1" t="s">
        <v>160</v>
      </c>
      <c r="B44" s="1" t="s">
        <v>159</v>
      </c>
      <c r="C44" s="1" t="s">
        <v>7</v>
      </c>
      <c r="D44" s="1" t="s">
        <v>195</v>
      </c>
      <c r="E44" s="1" t="s">
        <v>182</v>
      </c>
      <c r="F44" s="1" t="s">
        <v>158</v>
      </c>
      <c r="G44" s="1" t="s">
        <v>49</v>
      </c>
      <c r="I44">
        <f>FIND("_FL",Changed_Type[[#This Row],[Column7]])</f>
        <v>11</v>
      </c>
      <c r="J44" t="str">
        <f>MID(Changed_Type[[#This Row],[Column7]],5,I44-7)</f>
        <v>8851</v>
      </c>
      <c r="M44" s="1">
        <v>8851</v>
      </c>
      <c r="N44" t="s">
        <v>325</v>
      </c>
      <c r="P44" s="1">
        <v>8851</v>
      </c>
      <c r="Q44" t="s">
        <v>325</v>
      </c>
      <c r="S44">
        <v>8740</v>
      </c>
      <c r="T44" t="s">
        <v>386</v>
      </c>
    </row>
    <row r="45" spans="1:20" x14ac:dyDescent="0.25">
      <c r="A45" s="1" t="s">
        <v>160</v>
      </c>
      <c r="B45" s="1" t="s">
        <v>159</v>
      </c>
      <c r="C45" s="1" t="s">
        <v>7</v>
      </c>
      <c r="D45" s="1" t="s">
        <v>168</v>
      </c>
      <c r="E45" s="1" t="s">
        <v>181</v>
      </c>
      <c r="F45" s="1" t="s">
        <v>158</v>
      </c>
      <c r="G45" s="1" t="s">
        <v>50</v>
      </c>
      <c r="I45">
        <f>FIND("_FL",Changed_Type[[#This Row],[Column7]])</f>
        <v>11</v>
      </c>
      <c r="J45" t="str">
        <f>MID(Changed_Type[[#This Row],[Column7]],5,I45-7)</f>
        <v>8852</v>
      </c>
      <c r="M45" s="1">
        <v>8852</v>
      </c>
      <c r="N45" t="s">
        <v>326</v>
      </c>
      <c r="P45" s="1">
        <v>8852</v>
      </c>
      <c r="Q45" t="s">
        <v>326</v>
      </c>
      <c r="S45">
        <v>8756</v>
      </c>
      <c r="T45" t="s">
        <v>315</v>
      </c>
    </row>
    <row r="46" spans="1:20" x14ac:dyDescent="0.25">
      <c r="A46" s="1" t="s">
        <v>160</v>
      </c>
      <c r="B46" s="1" t="s">
        <v>159</v>
      </c>
      <c r="C46" s="1" t="s">
        <v>7</v>
      </c>
      <c r="D46" s="1" t="s">
        <v>195</v>
      </c>
      <c r="E46" s="1" t="s">
        <v>196</v>
      </c>
      <c r="F46" s="1" t="s">
        <v>158</v>
      </c>
      <c r="G46" s="1" t="s">
        <v>51</v>
      </c>
      <c r="I46">
        <f>FIND("_FL",Changed_Type[[#This Row],[Column7]])</f>
        <v>11</v>
      </c>
      <c r="J46" t="str">
        <f>MID(Changed_Type[[#This Row],[Column7]],5,I46-7)</f>
        <v>8853</v>
      </c>
      <c r="M46" s="1">
        <v>8853</v>
      </c>
      <c r="N46" t="s">
        <v>327</v>
      </c>
      <c r="P46" s="1">
        <v>8853</v>
      </c>
      <c r="Q46" t="s">
        <v>327</v>
      </c>
      <c r="S46">
        <v>8756</v>
      </c>
      <c r="T46" t="s">
        <v>387</v>
      </c>
    </row>
    <row r="47" spans="1:20" x14ac:dyDescent="0.25">
      <c r="A47" s="1" t="s">
        <v>160</v>
      </c>
      <c r="B47" s="1" t="s">
        <v>159</v>
      </c>
      <c r="C47" s="1" t="s">
        <v>7</v>
      </c>
      <c r="D47" s="1" t="s">
        <v>195</v>
      </c>
      <c r="E47" s="1" t="s">
        <v>197</v>
      </c>
      <c r="F47" s="1" t="s">
        <v>158</v>
      </c>
      <c r="G47" s="1" t="s">
        <v>52</v>
      </c>
      <c r="I47">
        <f>FIND("_FL",Changed_Type[[#This Row],[Column7]])</f>
        <v>11</v>
      </c>
      <c r="J47" t="str">
        <f>MID(Changed_Type[[#This Row],[Column7]],5,I47-7)</f>
        <v>8869</v>
      </c>
      <c r="M47" s="1">
        <v>8869</v>
      </c>
      <c r="N47" t="s">
        <v>328</v>
      </c>
      <c r="P47" s="1">
        <v>8869</v>
      </c>
      <c r="Q47" t="s">
        <v>328</v>
      </c>
      <c r="S47">
        <v>8768</v>
      </c>
      <c r="T47" t="s">
        <v>316</v>
      </c>
    </row>
    <row r="48" spans="1:20" x14ac:dyDescent="0.25">
      <c r="A48" s="1" t="s">
        <v>160</v>
      </c>
      <c r="B48" s="1" t="s">
        <v>159</v>
      </c>
      <c r="C48" s="1" t="s">
        <v>7</v>
      </c>
      <c r="D48" s="1" t="s">
        <v>195</v>
      </c>
      <c r="E48" s="1" t="s">
        <v>193</v>
      </c>
      <c r="F48" s="1" t="s">
        <v>158</v>
      </c>
      <c r="G48" s="1" t="s">
        <v>53</v>
      </c>
      <c r="I48">
        <f>FIND("_FL",Changed_Type[[#This Row],[Column7]])</f>
        <v>11</v>
      </c>
      <c r="J48" t="str">
        <f>MID(Changed_Type[[#This Row],[Column7]],5,I48-7)</f>
        <v>8892</v>
      </c>
      <c r="M48" s="1">
        <v>8892</v>
      </c>
      <c r="N48" t="s">
        <v>329</v>
      </c>
      <c r="P48" s="1">
        <v>8892</v>
      </c>
      <c r="Q48" t="s">
        <v>329</v>
      </c>
      <c r="S48">
        <v>8768</v>
      </c>
      <c r="T48" t="s">
        <v>388</v>
      </c>
    </row>
    <row r="49" spans="1:20" x14ac:dyDescent="0.25">
      <c r="A49" s="1" t="s">
        <v>160</v>
      </c>
      <c r="B49" s="1" t="s">
        <v>159</v>
      </c>
      <c r="C49" s="1" t="s">
        <v>7</v>
      </c>
      <c r="D49" s="1" t="s">
        <v>195</v>
      </c>
      <c r="E49" s="1" t="s">
        <v>198</v>
      </c>
      <c r="F49" s="1" t="s">
        <v>158</v>
      </c>
      <c r="G49" s="1" t="s">
        <v>54</v>
      </c>
      <c r="I49">
        <f>FIND("_FL",Changed_Type[[#This Row],[Column7]])</f>
        <v>11</v>
      </c>
      <c r="J49" t="str">
        <f>MID(Changed_Type[[#This Row],[Column7]],5,I49-7)</f>
        <v>8905</v>
      </c>
      <c r="M49" s="1">
        <v>8905</v>
      </c>
      <c r="N49" t="s">
        <v>330</v>
      </c>
      <c r="P49" s="1">
        <v>8905</v>
      </c>
      <c r="Q49" t="s">
        <v>330</v>
      </c>
      <c r="S49">
        <v>8769</v>
      </c>
      <c r="T49" t="s">
        <v>317</v>
      </c>
    </row>
    <row r="50" spans="1:20" x14ac:dyDescent="0.25">
      <c r="A50" s="1" t="s">
        <v>160</v>
      </c>
      <c r="B50" s="1" t="s">
        <v>159</v>
      </c>
      <c r="C50" s="1" t="s">
        <v>7</v>
      </c>
      <c r="D50" s="1" t="s">
        <v>195</v>
      </c>
      <c r="E50" s="1" t="s">
        <v>199</v>
      </c>
      <c r="F50" s="1" t="s">
        <v>158</v>
      </c>
      <c r="G50" s="1" t="s">
        <v>55</v>
      </c>
      <c r="I50">
        <f>FIND("_FL",Changed_Type[[#This Row],[Column7]])</f>
        <v>11</v>
      </c>
      <c r="J50" t="str">
        <f>MID(Changed_Type[[#This Row],[Column7]],5,I50-7)</f>
        <v>8906</v>
      </c>
      <c r="M50" s="1">
        <v>8906</v>
      </c>
      <c r="N50" t="s">
        <v>331</v>
      </c>
      <c r="P50" s="1">
        <v>8906</v>
      </c>
      <c r="Q50" t="s">
        <v>331</v>
      </c>
      <c r="S50">
        <v>8769</v>
      </c>
      <c r="T50" t="s">
        <v>389</v>
      </c>
    </row>
    <row r="51" spans="1:20" x14ac:dyDescent="0.25">
      <c r="A51" s="1" t="s">
        <v>160</v>
      </c>
      <c r="B51" s="1" t="s">
        <v>159</v>
      </c>
      <c r="C51" s="1" t="s">
        <v>7</v>
      </c>
      <c r="D51" s="1" t="s">
        <v>169</v>
      </c>
      <c r="E51" s="1" t="s">
        <v>197</v>
      </c>
      <c r="F51" s="1" t="s">
        <v>158</v>
      </c>
      <c r="G51" s="1" t="s">
        <v>56</v>
      </c>
      <c r="I51">
        <f>FIND("_FL",Changed_Type[[#This Row],[Column7]])</f>
        <v>11</v>
      </c>
      <c r="J51" t="str">
        <f>MID(Changed_Type[[#This Row],[Column7]],5,I51-7)</f>
        <v>8914</v>
      </c>
      <c r="M51" s="1">
        <v>8914</v>
      </c>
      <c r="N51" t="s">
        <v>332</v>
      </c>
      <c r="P51" s="1">
        <v>8914</v>
      </c>
      <c r="Q51" t="s">
        <v>332</v>
      </c>
      <c r="S51">
        <v>8789</v>
      </c>
      <c r="T51" t="s">
        <v>318</v>
      </c>
    </row>
    <row r="52" spans="1:20" x14ac:dyDescent="0.25">
      <c r="A52" s="1" t="s">
        <v>160</v>
      </c>
      <c r="B52" s="1" t="s">
        <v>159</v>
      </c>
      <c r="C52" s="1" t="s">
        <v>7</v>
      </c>
      <c r="D52" s="1" t="s">
        <v>169</v>
      </c>
      <c r="E52" s="1" t="s">
        <v>178</v>
      </c>
      <c r="F52" s="1" t="s">
        <v>158</v>
      </c>
      <c r="G52" s="1" t="s">
        <v>57</v>
      </c>
      <c r="I52">
        <f>FIND("_FL",Changed_Type[[#This Row],[Column7]])</f>
        <v>11</v>
      </c>
      <c r="J52" t="str">
        <f>MID(Changed_Type[[#This Row],[Column7]],5,I52-7)</f>
        <v>8915</v>
      </c>
      <c r="M52" s="1">
        <v>8915</v>
      </c>
      <c r="N52" t="s">
        <v>333</v>
      </c>
      <c r="P52" s="1">
        <v>8915</v>
      </c>
      <c r="Q52" t="s">
        <v>333</v>
      </c>
      <c r="S52">
        <v>8789</v>
      </c>
      <c r="T52" t="s">
        <v>390</v>
      </c>
    </row>
    <row r="53" spans="1:20" x14ac:dyDescent="0.25">
      <c r="A53" s="1" t="s">
        <v>160</v>
      </c>
      <c r="B53" s="1" t="s">
        <v>159</v>
      </c>
      <c r="C53" s="1" t="s">
        <v>7</v>
      </c>
      <c r="D53" s="1" t="s">
        <v>195</v>
      </c>
      <c r="E53" s="1" t="s">
        <v>181</v>
      </c>
      <c r="F53" s="1" t="s">
        <v>158</v>
      </c>
      <c r="G53" s="1" t="s">
        <v>58</v>
      </c>
      <c r="I53">
        <f>FIND("_FL",Changed_Type[[#This Row],[Column7]])</f>
        <v>11</v>
      </c>
      <c r="J53" t="str">
        <f>MID(Changed_Type[[#This Row],[Column7]],5,I53-7)</f>
        <v>8916</v>
      </c>
      <c r="M53" s="1">
        <v>8916</v>
      </c>
      <c r="N53" t="s">
        <v>334</v>
      </c>
      <c r="P53" s="1">
        <v>8916</v>
      </c>
      <c r="Q53" t="s">
        <v>334</v>
      </c>
      <c r="S53">
        <v>8790</v>
      </c>
      <c r="T53" t="s">
        <v>319</v>
      </c>
    </row>
    <row r="54" spans="1:20" x14ac:dyDescent="0.25">
      <c r="A54" s="1" t="s">
        <v>160</v>
      </c>
      <c r="B54" s="1" t="s">
        <v>159</v>
      </c>
      <c r="C54" s="1" t="s">
        <v>7</v>
      </c>
      <c r="D54" s="1" t="s">
        <v>169</v>
      </c>
      <c r="E54" s="1" t="s">
        <v>180</v>
      </c>
      <c r="F54" s="1" t="s">
        <v>158</v>
      </c>
      <c r="G54" s="1" t="s">
        <v>59</v>
      </c>
      <c r="I54">
        <f>FIND("_FL",Changed_Type[[#This Row],[Column7]])</f>
        <v>11</v>
      </c>
      <c r="J54" t="str">
        <f>MID(Changed_Type[[#This Row],[Column7]],5,I54-7)</f>
        <v>8924</v>
      </c>
      <c r="M54" s="1">
        <v>8924</v>
      </c>
      <c r="N54" t="s">
        <v>335</v>
      </c>
      <c r="P54" s="1">
        <v>8924</v>
      </c>
      <c r="Q54" t="s">
        <v>335</v>
      </c>
      <c r="S54">
        <v>8790</v>
      </c>
      <c r="T54" t="s">
        <v>391</v>
      </c>
    </row>
    <row r="55" spans="1:20" x14ac:dyDescent="0.25">
      <c r="A55" s="1" t="s">
        <v>160</v>
      </c>
      <c r="B55" s="1" t="s">
        <v>159</v>
      </c>
      <c r="C55" s="1" t="s">
        <v>7</v>
      </c>
      <c r="D55" s="1" t="s">
        <v>169</v>
      </c>
      <c r="E55" s="1" t="s">
        <v>162</v>
      </c>
      <c r="F55" s="1" t="s">
        <v>158</v>
      </c>
      <c r="G55" s="1" t="s">
        <v>60</v>
      </c>
      <c r="I55">
        <f>FIND("_FL",Changed_Type[[#This Row],[Column7]])</f>
        <v>11</v>
      </c>
      <c r="J55" t="str">
        <f>MID(Changed_Type[[#This Row],[Column7]],5,I55-7)</f>
        <v>8941</v>
      </c>
      <c r="M55" s="1">
        <v>8941</v>
      </c>
      <c r="N55" t="s">
        <v>336</v>
      </c>
      <c r="P55" s="1">
        <v>8941</v>
      </c>
      <c r="Q55" t="s">
        <v>336</v>
      </c>
      <c r="S55">
        <v>8791</v>
      </c>
      <c r="T55" t="s">
        <v>320</v>
      </c>
    </row>
    <row r="56" spans="1:20" x14ac:dyDescent="0.25">
      <c r="A56" s="1" t="s">
        <v>160</v>
      </c>
      <c r="B56" s="1" t="s">
        <v>159</v>
      </c>
      <c r="C56" s="1" t="s">
        <v>7</v>
      </c>
      <c r="D56" s="1" t="s">
        <v>169</v>
      </c>
      <c r="E56" s="1" t="s">
        <v>200</v>
      </c>
      <c r="F56" s="1" t="s">
        <v>158</v>
      </c>
      <c r="G56" s="1" t="s">
        <v>61</v>
      </c>
      <c r="I56">
        <f>FIND("_FL",Changed_Type[[#This Row],[Column7]])</f>
        <v>11</v>
      </c>
      <c r="J56" t="str">
        <f>MID(Changed_Type[[#This Row],[Column7]],5,I56-7)</f>
        <v>8955</v>
      </c>
      <c r="M56" s="1">
        <v>8955</v>
      </c>
      <c r="N56" t="s">
        <v>337</v>
      </c>
      <c r="P56" s="1">
        <v>8955</v>
      </c>
      <c r="Q56" t="s">
        <v>337</v>
      </c>
      <c r="S56">
        <v>8791</v>
      </c>
      <c r="T56" t="s">
        <v>392</v>
      </c>
    </row>
    <row r="57" spans="1:20" x14ac:dyDescent="0.25">
      <c r="A57" s="1" t="s">
        <v>160</v>
      </c>
      <c r="B57" s="1" t="s">
        <v>159</v>
      </c>
      <c r="C57" s="1" t="s">
        <v>7</v>
      </c>
      <c r="D57" s="1" t="s">
        <v>169</v>
      </c>
      <c r="E57" s="1" t="s">
        <v>176</v>
      </c>
      <c r="F57" s="1" t="s">
        <v>158</v>
      </c>
      <c r="G57" s="1" t="s">
        <v>62</v>
      </c>
      <c r="I57">
        <f>FIND("_FL",Changed_Type[[#This Row],[Column7]])</f>
        <v>11</v>
      </c>
      <c r="J57" t="str">
        <f>MID(Changed_Type[[#This Row],[Column7]],5,I57-7)</f>
        <v>8956</v>
      </c>
      <c r="M57" s="1">
        <v>8956</v>
      </c>
      <c r="N57" t="s">
        <v>338</v>
      </c>
      <c r="P57" s="1">
        <v>8956</v>
      </c>
      <c r="Q57" t="s">
        <v>338</v>
      </c>
      <c r="S57">
        <v>8833</v>
      </c>
      <c r="T57" t="s">
        <v>321</v>
      </c>
    </row>
    <row r="58" spans="1:20" x14ac:dyDescent="0.25">
      <c r="A58" s="1" t="s">
        <v>160</v>
      </c>
      <c r="B58" s="1" t="s">
        <v>159</v>
      </c>
      <c r="C58" s="1" t="s">
        <v>7</v>
      </c>
      <c r="D58" s="1" t="s">
        <v>169</v>
      </c>
      <c r="E58" s="1" t="s">
        <v>201</v>
      </c>
      <c r="F58" s="1" t="s">
        <v>158</v>
      </c>
      <c r="G58" s="1" t="s">
        <v>63</v>
      </c>
      <c r="I58">
        <f>FIND("_FL",Changed_Type[[#This Row],[Column7]])</f>
        <v>11</v>
      </c>
      <c r="J58" t="str">
        <f>MID(Changed_Type[[#This Row],[Column7]],5,I58-7)</f>
        <v>8959</v>
      </c>
      <c r="M58" s="1">
        <v>8959</v>
      </c>
      <c r="N58" t="s">
        <v>339</v>
      </c>
      <c r="P58" s="1">
        <v>8959</v>
      </c>
      <c r="Q58" t="s">
        <v>339</v>
      </c>
      <c r="S58">
        <v>8833</v>
      </c>
      <c r="T58" t="s">
        <v>393</v>
      </c>
    </row>
    <row r="59" spans="1:20" x14ac:dyDescent="0.25">
      <c r="A59" s="1" t="s">
        <v>160</v>
      </c>
      <c r="B59" s="1" t="s">
        <v>159</v>
      </c>
      <c r="C59" s="1" t="s">
        <v>7</v>
      </c>
      <c r="D59" s="1" t="s">
        <v>202</v>
      </c>
      <c r="E59" s="1" t="s">
        <v>162</v>
      </c>
      <c r="F59" s="1" t="s">
        <v>158</v>
      </c>
      <c r="G59" s="1" t="s">
        <v>64</v>
      </c>
      <c r="I59">
        <f>FIND("_FL",Changed_Type[[#This Row],[Column7]])</f>
        <v>11</v>
      </c>
      <c r="J59" t="str">
        <f>MID(Changed_Type[[#This Row],[Column7]],5,I59-7)</f>
        <v>8972</v>
      </c>
      <c r="M59" s="1">
        <v>8972</v>
      </c>
      <c r="N59" t="s">
        <v>340</v>
      </c>
      <c r="P59" s="1">
        <v>8972</v>
      </c>
      <c r="Q59" t="s">
        <v>340</v>
      </c>
      <c r="S59">
        <v>8835</v>
      </c>
      <c r="T59" t="s">
        <v>322</v>
      </c>
    </row>
    <row r="60" spans="1:20" x14ac:dyDescent="0.25">
      <c r="A60" s="1" t="s">
        <v>160</v>
      </c>
      <c r="B60" s="1" t="s">
        <v>159</v>
      </c>
      <c r="C60" s="1" t="s">
        <v>7</v>
      </c>
      <c r="D60" s="1" t="s">
        <v>202</v>
      </c>
      <c r="E60" s="1" t="s">
        <v>192</v>
      </c>
      <c r="F60" s="1" t="s">
        <v>158</v>
      </c>
      <c r="G60" s="1" t="s">
        <v>65</v>
      </c>
      <c r="I60">
        <f>FIND("_FL",Changed_Type[[#This Row],[Column7]])</f>
        <v>11</v>
      </c>
      <c r="J60" t="str">
        <f>MID(Changed_Type[[#This Row],[Column7]],5,I60-7)</f>
        <v>8973</v>
      </c>
      <c r="M60" s="1">
        <v>8973</v>
      </c>
      <c r="N60" t="s">
        <v>341</v>
      </c>
      <c r="P60" s="1">
        <v>8973</v>
      </c>
      <c r="Q60" t="s">
        <v>341</v>
      </c>
      <c r="S60">
        <v>8835</v>
      </c>
      <c r="T60" t="s">
        <v>394</v>
      </c>
    </row>
    <row r="61" spans="1:20" x14ac:dyDescent="0.25">
      <c r="A61" s="1" t="s">
        <v>160</v>
      </c>
      <c r="B61" s="1" t="s">
        <v>159</v>
      </c>
      <c r="C61" s="1" t="s">
        <v>7</v>
      </c>
      <c r="D61" s="1" t="s">
        <v>202</v>
      </c>
      <c r="E61" s="1" t="s">
        <v>181</v>
      </c>
      <c r="F61" s="1" t="s">
        <v>158</v>
      </c>
      <c r="G61" s="1" t="s">
        <v>66</v>
      </c>
      <c r="I61">
        <f>FIND("_FL",Changed_Type[[#This Row],[Column7]])</f>
        <v>11</v>
      </c>
      <c r="J61" t="str">
        <f>MID(Changed_Type[[#This Row],[Column7]],5,I61-7)</f>
        <v>8974</v>
      </c>
      <c r="M61" s="1">
        <v>8974</v>
      </c>
      <c r="N61" t="s">
        <v>342</v>
      </c>
      <c r="P61" s="1">
        <v>8974</v>
      </c>
      <c r="Q61" t="s">
        <v>342</v>
      </c>
      <c r="S61">
        <v>8842</v>
      </c>
      <c r="T61" t="s">
        <v>323</v>
      </c>
    </row>
    <row r="62" spans="1:20" x14ac:dyDescent="0.25">
      <c r="A62" s="1" t="s">
        <v>160</v>
      </c>
      <c r="B62" s="1" t="s">
        <v>159</v>
      </c>
      <c r="C62" s="1" t="s">
        <v>7</v>
      </c>
      <c r="D62" s="1" t="s">
        <v>202</v>
      </c>
      <c r="E62" s="1" t="s">
        <v>162</v>
      </c>
      <c r="F62" s="1" t="s">
        <v>158</v>
      </c>
      <c r="G62" s="1" t="s">
        <v>67</v>
      </c>
      <c r="I62">
        <f>FIND("_FL",Changed_Type[[#This Row],[Column7]])</f>
        <v>11</v>
      </c>
      <c r="J62" t="str">
        <f>MID(Changed_Type[[#This Row],[Column7]],5,I62-7)</f>
        <v>8988</v>
      </c>
      <c r="M62" s="1">
        <v>8988</v>
      </c>
      <c r="N62" t="s">
        <v>343</v>
      </c>
      <c r="P62" s="1">
        <v>8988</v>
      </c>
      <c r="Q62" t="s">
        <v>343</v>
      </c>
      <c r="S62">
        <v>8842</v>
      </c>
      <c r="T62" t="s">
        <v>395</v>
      </c>
    </row>
    <row r="63" spans="1:20" x14ac:dyDescent="0.25">
      <c r="A63" s="1" t="s">
        <v>160</v>
      </c>
      <c r="B63" s="1" t="s">
        <v>159</v>
      </c>
      <c r="C63" s="1" t="s">
        <v>7</v>
      </c>
      <c r="D63" s="1" t="s">
        <v>202</v>
      </c>
      <c r="E63" s="1" t="s">
        <v>162</v>
      </c>
      <c r="F63" s="1" t="s">
        <v>158</v>
      </c>
      <c r="G63" s="1" t="s">
        <v>68</v>
      </c>
      <c r="I63">
        <f>FIND("_FL",Changed_Type[[#This Row],[Column7]])</f>
        <v>11</v>
      </c>
      <c r="J63" t="str">
        <f>MID(Changed_Type[[#This Row],[Column7]],5,I63-7)</f>
        <v>9003</v>
      </c>
      <c r="M63" s="1">
        <v>9003</v>
      </c>
      <c r="N63" t="s">
        <v>344</v>
      </c>
      <c r="P63" s="1">
        <v>9003</v>
      </c>
      <c r="Q63" t="s">
        <v>344</v>
      </c>
      <c r="S63">
        <v>8843</v>
      </c>
      <c r="T63" t="s">
        <v>324</v>
      </c>
    </row>
    <row r="64" spans="1:20" x14ac:dyDescent="0.25">
      <c r="A64" s="1" t="s">
        <v>160</v>
      </c>
      <c r="B64" s="1" t="s">
        <v>159</v>
      </c>
      <c r="C64" s="1" t="s">
        <v>7</v>
      </c>
      <c r="D64" s="1" t="s">
        <v>202</v>
      </c>
      <c r="E64" s="1" t="s">
        <v>203</v>
      </c>
      <c r="F64" s="1" t="s">
        <v>158</v>
      </c>
      <c r="G64" s="1" t="s">
        <v>69</v>
      </c>
      <c r="I64">
        <f>FIND("_FL",Changed_Type[[#This Row],[Column7]])</f>
        <v>11</v>
      </c>
      <c r="J64" t="str">
        <f>MID(Changed_Type[[#This Row],[Column7]],5,I64-7)</f>
        <v>9006</v>
      </c>
      <c r="M64" s="1">
        <v>9006</v>
      </c>
      <c r="N64" t="s">
        <v>345</v>
      </c>
      <c r="P64" s="1">
        <v>9006</v>
      </c>
      <c r="Q64" t="s">
        <v>345</v>
      </c>
      <c r="S64">
        <v>8843</v>
      </c>
      <c r="T64" t="s">
        <v>396</v>
      </c>
    </row>
    <row r="65" spans="1:20" x14ac:dyDescent="0.25">
      <c r="A65" s="1" t="s">
        <v>160</v>
      </c>
      <c r="B65" s="1" t="s">
        <v>159</v>
      </c>
      <c r="C65" s="1" t="s">
        <v>7</v>
      </c>
      <c r="D65" s="1" t="s">
        <v>171</v>
      </c>
      <c r="E65" s="1" t="s">
        <v>180</v>
      </c>
      <c r="F65" s="1" t="s">
        <v>158</v>
      </c>
      <c r="G65" s="1" t="s">
        <v>70</v>
      </c>
      <c r="I65">
        <f>FIND("_FL",Changed_Type[[#This Row],[Column7]])</f>
        <v>11</v>
      </c>
      <c r="J65" t="str">
        <f>MID(Changed_Type[[#This Row],[Column7]],5,I65-7)</f>
        <v>9013</v>
      </c>
      <c r="M65" s="1">
        <v>9013</v>
      </c>
      <c r="N65" t="s">
        <v>346</v>
      </c>
      <c r="P65" s="1">
        <v>9013</v>
      </c>
      <c r="Q65" t="s">
        <v>346</v>
      </c>
      <c r="S65">
        <v>8851</v>
      </c>
      <c r="T65" t="s">
        <v>325</v>
      </c>
    </row>
    <row r="66" spans="1:20" x14ac:dyDescent="0.25">
      <c r="A66" s="1" t="s">
        <v>160</v>
      </c>
      <c r="B66" s="1" t="s">
        <v>159</v>
      </c>
      <c r="C66" s="1" t="s">
        <v>7</v>
      </c>
      <c r="D66" s="1" t="s">
        <v>171</v>
      </c>
      <c r="E66" s="1" t="s">
        <v>204</v>
      </c>
      <c r="F66" s="1" t="s">
        <v>158</v>
      </c>
      <c r="G66" s="1" t="s">
        <v>71</v>
      </c>
      <c r="I66">
        <f>FIND("_FL",Changed_Type[[#This Row],[Column7]])</f>
        <v>11</v>
      </c>
      <c r="J66" t="str">
        <f>MID(Changed_Type[[#This Row],[Column7]],5,I66-7)</f>
        <v>9014</v>
      </c>
      <c r="M66" s="1">
        <v>9014</v>
      </c>
      <c r="N66" t="s">
        <v>347</v>
      </c>
      <c r="P66" s="1">
        <v>9014</v>
      </c>
      <c r="Q66" t="s">
        <v>347</v>
      </c>
      <c r="S66">
        <v>8851</v>
      </c>
      <c r="T66" t="s">
        <v>397</v>
      </c>
    </row>
    <row r="67" spans="1:20" x14ac:dyDescent="0.25">
      <c r="A67" s="1" t="s">
        <v>160</v>
      </c>
      <c r="B67" s="1" t="s">
        <v>159</v>
      </c>
      <c r="C67" s="1" t="s">
        <v>7</v>
      </c>
      <c r="D67" s="1" t="s">
        <v>173</v>
      </c>
      <c r="E67" s="1" t="s">
        <v>180</v>
      </c>
      <c r="F67" s="1" t="s">
        <v>158</v>
      </c>
      <c r="G67" s="1" t="s">
        <v>72</v>
      </c>
      <c r="I67">
        <f>FIND("_FL",Changed_Type[[#This Row],[Column7]])</f>
        <v>11</v>
      </c>
      <c r="J67" t="str">
        <f>MID(Changed_Type[[#This Row],[Column7]],5,I67-7)</f>
        <v>9030</v>
      </c>
      <c r="M67" s="1">
        <v>9030</v>
      </c>
      <c r="N67" t="s">
        <v>348</v>
      </c>
      <c r="P67" s="1">
        <v>9030</v>
      </c>
      <c r="Q67" t="s">
        <v>348</v>
      </c>
      <c r="S67">
        <v>8852</v>
      </c>
      <c r="T67" t="s">
        <v>326</v>
      </c>
    </row>
    <row r="68" spans="1:20" x14ac:dyDescent="0.25">
      <c r="A68" s="1" t="s">
        <v>160</v>
      </c>
      <c r="B68" s="1" t="s">
        <v>159</v>
      </c>
      <c r="C68" s="1" t="s">
        <v>7</v>
      </c>
      <c r="D68" s="1" t="s">
        <v>171</v>
      </c>
      <c r="E68" s="1" t="s">
        <v>177</v>
      </c>
      <c r="F68" s="1" t="s">
        <v>158</v>
      </c>
      <c r="G68" s="1" t="s">
        <v>73</v>
      </c>
      <c r="I68">
        <f>FIND("_FL",Changed_Type[[#This Row],[Column7]])</f>
        <v>11</v>
      </c>
      <c r="J68" t="str">
        <f>MID(Changed_Type[[#This Row],[Column7]],5,I68-7)</f>
        <v>9048</v>
      </c>
      <c r="M68" s="1">
        <v>9048</v>
      </c>
      <c r="N68" t="s">
        <v>349</v>
      </c>
      <c r="P68" s="1">
        <v>9048</v>
      </c>
      <c r="Q68" t="s">
        <v>349</v>
      </c>
      <c r="S68">
        <v>8852</v>
      </c>
      <c r="T68" t="s">
        <v>398</v>
      </c>
    </row>
    <row r="69" spans="1:20" x14ac:dyDescent="0.25">
      <c r="A69" s="1" t="s">
        <v>160</v>
      </c>
      <c r="B69" s="1" t="s">
        <v>159</v>
      </c>
      <c r="C69" s="1" t="s">
        <v>7</v>
      </c>
      <c r="D69" s="1" t="s">
        <v>173</v>
      </c>
      <c r="E69" s="1" t="s">
        <v>170</v>
      </c>
      <c r="F69" s="1" t="s">
        <v>158</v>
      </c>
      <c r="G69" s="1" t="s">
        <v>74</v>
      </c>
      <c r="I69">
        <f>FIND("_FL",Changed_Type[[#This Row],[Column7]])</f>
        <v>11</v>
      </c>
      <c r="J69" t="str">
        <f>MID(Changed_Type[[#This Row],[Column7]],5,I69-7)</f>
        <v>9091</v>
      </c>
      <c r="M69" s="1">
        <v>9091</v>
      </c>
      <c r="N69" t="s">
        <v>350</v>
      </c>
      <c r="P69" s="1">
        <v>9091</v>
      </c>
      <c r="Q69" t="s">
        <v>350</v>
      </c>
      <c r="S69">
        <v>8853</v>
      </c>
      <c r="T69" t="s">
        <v>327</v>
      </c>
    </row>
    <row r="70" spans="1:20" x14ac:dyDescent="0.25">
      <c r="A70" s="1" t="s">
        <v>160</v>
      </c>
      <c r="B70" s="1" t="s">
        <v>159</v>
      </c>
      <c r="C70" s="1" t="s">
        <v>7</v>
      </c>
      <c r="D70" s="1" t="s">
        <v>173</v>
      </c>
      <c r="E70" s="1" t="s">
        <v>205</v>
      </c>
      <c r="F70" s="1" t="s">
        <v>158</v>
      </c>
      <c r="G70" s="1" t="s">
        <v>75</v>
      </c>
      <c r="I70">
        <f>FIND("_FL",Changed_Type[[#This Row],[Column7]])</f>
        <v>11</v>
      </c>
      <c r="J70" t="str">
        <f>MID(Changed_Type[[#This Row],[Column7]],5,I70-7)</f>
        <v>9092</v>
      </c>
      <c r="M70" s="1">
        <v>9092</v>
      </c>
      <c r="N70" t="s">
        <v>351</v>
      </c>
      <c r="P70" s="1">
        <v>9092</v>
      </c>
      <c r="Q70" t="s">
        <v>351</v>
      </c>
      <c r="S70">
        <v>8853</v>
      </c>
      <c r="T70" t="s">
        <v>399</v>
      </c>
    </row>
    <row r="71" spans="1:20" x14ac:dyDescent="0.25">
      <c r="A71" s="1" t="s">
        <v>160</v>
      </c>
      <c r="B71" s="1" t="s">
        <v>159</v>
      </c>
      <c r="C71" s="1" t="s">
        <v>7</v>
      </c>
      <c r="D71" s="1" t="s">
        <v>206</v>
      </c>
      <c r="E71" s="1" t="s">
        <v>207</v>
      </c>
      <c r="F71" s="1" t="s">
        <v>158</v>
      </c>
      <c r="G71" s="1" t="s">
        <v>76</v>
      </c>
      <c r="I71">
        <f>FIND("_FL",Changed_Type[[#This Row],[Column7]])</f>
        <v>11</v>
      </c>
      <c r="J71" t="str">
        <f>MID(Changed_Type[[#This Row],[Column7]],5,I71-7)</f>
        <v>9099</v>
      </c>
      <c r="M71" s="1">
        <v>9099</v>
      </c>
      <c r="N71" t="s">
        <v>352</v>
      </c>
      <c r="P71" s="1">
        <v>9099</v>
      </c>
      <c r="Q71" t="s">
        <v>352</v>
      </c>
      <c r="S71">
        <v>8869</v>
      </c>
      <c r="T71" t="s">
        <v>328</v>
      </c>
    </row>
    <row r="72" spans="1:20" x14ac:dyDescent="0.25">
      <c r="A72" s="1" t="s">
        <v>160</v>
      </c>
      <c r="B72" s="1" t="s">
        <v>159</v>
      </c>
      <c r="C72" s="1" t="s">
        <v>7</v>
      </c>
      <c r="D72" s="1" t="s">
        <v>173</v>
      </c>
      <c r="E72" s="1" t="s">
        <v>192</v>
      </c>
      <c r="F72" s="1" t="s">
        <v>158</v>
      </c>
      <c r="G72" s="1" t="s">
        <v>77</v>
      </c>
      <c r="I72">
        <f>FIND("_FL",Changed_Type[[#This Row],[Column7]])</f>
        <v>11</v>
      </c>
      <c r="J72" t="str">
        <f>MID(Changed_Type[[#This Row],[Column7]],5,I72-7)</f>
        <v>9100</v>
      </c>
      <c r="M72" s="1">
        <v>9100</v>
      </c>
      <c r="N72" t="s">
        <v>353</v>
      </c>
      <c r="P72" s="1">
        <v>9100</v>
      </c>
      <c r="Q72" t="s">
        <v>353</v>
      </c>
      <c r="S72">
        <v>8869</v>
      </c>
      <c r="T72" t="s">
        <v>400</v>
      </c>
    </row>
    <row r="73" spans="1:20" x14ac:dyDescent="0.25">
      <c r="A73" s="1" t="s">
        <v>160</v>
      </c>
      <c r="B73" s="1" t="s">
        <v>159</v>
      </c>
      <c r="C73" s="1" t="s">
        <v>7</v>
      </c>
      <c r="D73" s="1" t="s">
        <v>173</v>
      </c>
      <c r="E73" s="1" t="s">
        <v>181</v>
      </c>
      <c r="F73" s="1" t="s">
        <v>158</v>
      </c>
      <c r="G73" s="1" t="s">
        <v>78</v>
      </c>
      <c r="I73">
        <f>FIND("_FL",Changed_Type[[#This Row],[Column7]])</f>
        <v>11</v>
      </c>
      <c r="J73" t="str">
        <f>MID(Changed_Type[[#This Row],[Column7]],5,I73-7)</f>
        <v>9101</v>
      </c>
      <c r="M73" s="1">
        <v>9101</v>
      </c>
      <c r="N73" t="s">
        <v>354</v>
      </c>
      <c r="P73" s="1">
        <v>9101</v>
      </c>
      <c r="Q73" t="s">
        <v>354</v>
      </c>
      <c r="S73">
        <v>8892</v>
      </c>
      <c r="T73" t="s">
        <v>329</v>
      </c>
    </row>
    <row r="74" spans="1:20" x14ac:dyDescent="0.25">
      <c r="A74" s="1" t="s">
        <v>160</v>
      </c>
      <c r="B74" s="1" t="s">
        <v>159</v>
      </c>
      <c r="C74" s="1" t="s">
        <v>7</v>
      </c>
      <c r="D74" s="1" t="s">
        <v>208</v>
      </c>
      <c r="E74" s="1" t="s">
        <v>188</v>
      </c>
      <c r="F74" s="1" t="s">
        <v>158</v>
      </c>
      <c r="G74" s="1" t="s">
        <v>79</v>
      </c>
      <c r="I74">
        <f>FIND("_FL",Changed_Type[[#This Row],[Column7]])</f>
        <v>11</v>
      </c>
      <c r="J74" t="str">
        <f>MID(Changed_Type[[#This Row],[Column7]],5,I74-7)</f>
        <v>9121</v>
      </c>
      <c r="M74" s="1">
        <v>9121</v>
      </c>
      <c r="N74" t="s">
        <v>355</v>
      </c>
      <c r="P74" s="1">
        <v>9121</v>
      </c>
      <c r="Q74" t="s">
        <v>355</v>
      </c>
      <c r="S74">
        <v>8892</v>
      </c>
      <c r="T74" t="s">
        <v>401</v>
      </c>
    </row>
    <row r="75" spans="1:20" x14ac:dyDescent="0.25">
      <c r="A75" s="1" t="s">
        <v>160</v>
      </c>
      <c r="B75" s="1" t="s">
        <v>159</v>
      </c>
      <c r="C75" s="1" t="s">
        <v>7</v>
      </c>
      <c r="D75" s="1" t="s">
        <v>208</v>
      </c>
      <c r="E75" s="1" t="s">
        <v>197</v>
      </c>
      <c r="F75" s="1" t="s">
        <v>158</v>
      </c>
      <c r="G75" s="1" t="s">
        <v>80</v>
      </c>
      <c r="I75">
        <f>FIND("_FL",Changed_Type[[#This Row],[Column7]])</f>
        <v>11</v>
      </c>
      <c r="J75" t="str">
        <f>MID(Changed_Type[[#This Row],[Column7]],5,I75-7)</f>
        <v>9140</v>
      </c>
      <c r="M75" s="1">
        <v>9140</v>
      </c>
      <c r="N75" t="s">
        <v>356</v>
      </c>
      <c r="P75" s="1">
        <v>9140</v>
      </c>
      <c r="Q75" t="s">
        <v>356</v>
      </c>
      <c r="S75">
        <v>8905</v>
      </c>
      <c r="T75" t="s">
        <v>330</v>
      </c>
    </row>
    <row r="76" spans="1:20" x14ac:dyDescent="0.25">
      <c r="A76" s="1" t="s">
        <v>160</v>
      </c>
      <c r="B76" s="1" t="s">
        <v>159</v>
      </c>
      <c r="C76" s="1" t="s">
        <v>7</v>
      </c>
      <c r="D76" s="1" t="s">
        <v>208</v>
      </c>
      <c r="E76" s="1" t="s">
        <v>184</v>
      </c>
      <c r="F76" s="1" t="s">
        <v>158</v>
      </c>
      <c r="G76" s="1" t="s">
        <v>81</v>
      </c>
      <c r="I76">
        <f>FIND("_FL",Changed_Type[[#This Row],[Column7]])</f>
        <v>11</v>
      </c>
      <c r="J76" t="str">
        <f>MID(Changed_Type[[#This Row],[Column7]],5,I76-7)</f>
        <v>9141</v>
      </c>
      <c r="M76" s="1">
        <v>9141</v>
      </c>
      <c r="N76" t="s">
        <v>357</v>
      </c>
      <c r="P76" s="1">
        <v>9141</v>
      </c>
      <c r="Q76" t="s">
        <v>357</v>
      </c>
      <c r="S76">
        <v>8905</v>
      </c>
      <c r="T76" t="s">
        <v>402</v>
      </c>
    </row>
    <row r="77" spans="1:20" x14ac:dyDescent="0.25">
      <c r="A77" s="1" t="s">
        <v>160</v>
      </c>
      <c r="B77" s="1" t="s">
        <v>159</v>
      </c>
      <c r="C77" s="1" t="s">
        <v>7</v>
      </c>
      <c r="D77" s="1" t="s">
        <v>161</v>
      </c>
      <c r="E77" s="1" t="s">
        <v>209</v>
      </c>
      <c r="F77" s="1" t="s">
        <v>158</v>
      </c>
      <c r="G77" s="1" t="s">
        <v>82</v>
      </c>
      <c r="I77">
        <f>FIND(" UD",Changed_Type[[#This Row],[Column7]])</f>
        <v>9</v>
      </c>
      <c r="J77" t="str">
        <f>MID(Changed_Type[[#This Row],[Column7]],2,I77-4)</f>
        <v>80668</v>
      </c>
      <c r="M77" s="1">
        <v>80668</v>
      </c>
      <c r="N77" t="s">
        <v>358</v>
      </c>
      <c r="P77" s="1">
        <v>9031</v>
      </c>
      <c r="Q77" t="s">
        <v>420</v>
      </c>
      <c r="S77">
        <v>8906</v>
      </c>
      <c r="T77" t="s">
        <v>331</v>
      </c>
    </row>
    <row r="78" spans="1:20" x14ac:dyDescent="0.25">
      <c r="A78" s="1" t="s">
        <v>160</v>
      </c>
      <c r="B78" s="1" t="s">
        <v>159</v>
      </c>
      <c r="C78" s="1" t="s">
        <v>7</v>
      </c>
      <c r="D78" s="1" t="s">
        <v>163</v>
      </c>
      <c r="E78" s="1" t="s">
        <v>210</v>
      </c>
      <c r="F78" s="1" t="s">
        <v>158</v>
      </c>
      <c r="G78" s="1" t="s">
        <v>83</v>
      </c>
      <c r="I78">
        <f>FIND(" UD",Changed_Type[[#This Row],[Column7]])</f>
        <v>9</v>
      </c>
      <c r="J78" t="str">
        <f>MID(Changed_Type[[#This Row],[Column7]],2,I78-4)</f>
        <v>81730</v>
      </c>
      <c r="M78" s="1">
        <v>81730</v>
      </c>
      <c r="N78" t="s">
        <v>359</v>
      </c>
      <c r="P78" s="1">
        <v>9032</v>
      </c>
      <c r="Q78" t="s">
        <v>421</v>
      </c>
      <c r="S78">
        <v>8906</v>
      </c>
      <c r="T78" t="s">
        <v>403</v>
      </c>
    </row>
    <row r="79" spans="1:20" x14ac:dyDescent="0.25">
      <c r="A79" s="1" t="s">
        <v>160</v>
      </c>
      <c r="B79" s="1" t="s">
        <v>159</v>
      </c>
      <c r="C79" s="1" t="s">
        <v>7</v>
      </c>
      <c r="D79" s="1" t="s">
        <v>164</v>
      </c>
      <c r="E79" s="1" t="s">
        <v>211</v>
      </c>
      <c r="F79" s="1" t="s">
        <v>158</v>
      </c>
      <c r="G79" s="1" t="s">
        <v>84</v>
      </c>
      <c r="I79">
        <f>FIND(" UD",Changed_Type[[#This Row],[Column7]])</f>
        <v>9</v>
      </c>
      <c r="J79" t="str">
        <f>MID(Changed_Type[[#This Row],[Column7]],2,I79-4)</f>
        <v>82336</v>
      </c>
      <c r="M79" s="1">
        <v>82336</v>
      </c>
      <c r="N79" t="s">
        <v>360</v>
      </c>
      <c r="P79" s="1">
        <v>9074</v>
      </c>
      <c r="Q79" t="s">
        <v>423</v>
      </c>
      <c r="S79">
        <v>8914</v>
      </c>
      <c r="T79" t="s">
        <v>332</v>
      </c>
    </row>
    <row r="80" spans="1:20" x14ac:dyDescent="0.25">
      <c r="A80" s="1" t="s">
        <v>160</v>
      </c>
      <c r="B80" s="1" t="s">
        <v>159</v>
      </c>
      <c r="C80" s="1" t="s">
        <v>7</v>
      </c>
      <c r="D80" s="1" t="s">
        <v>168</v>
      </c>
      <c r="E80" s="1" t="s">
        <v>212</v>
      </c>
      <c r="F80" s="1" t="s">
        <v>158</v>
      </c>
      <c r="G80" s="1" t="s">
        <v>85</v>
      </c>
      <c r="I80">
        <f>FIND(" UD",Changed_Type[[#This Row],[Column7]])</f>
        <v>9</v>
      </c>
      <c r="J80" t="str">
        <f>MID(Changed_Type[[#This Row],[Column7]],2,I80-4)</f>
        <v>83123</v>
      </c>
      <c r="M80" s="1">
        <v>83123</v>
      </c>
      <c r="N80" t="s">
        <v>361</v>
      </c>
      <c r="S80">
        <v>8914</v>
      </c>
      <c r="T80" t="s">
        <v>404</v>
      </c>
    </row>
    <row r="81" spans="1:20" x14ac:dyDescent="0.25">
      <c r="A81" s="1" t="s">
        <v>160</v>
      </c>
      <c r="B81" s="1" t="s">
        <v>159</v>
      </c>
      <c r="C81" s="1" t="s">
        <v>7</v>
      </c>
      <c r="D81" s="1" t="s">
        <v>161</v>
      </c>
      <c r="E81" s="1" t="s">
        <v>213</v>
      </c>
      <c r="F81" s="1" t="s">
        <v>158</v>
      </c>
      <c r="G81" s="1" t="s">
        <v>86</v>
      </c>
      <c r="I81">
        <f>FIND(" UD",Changed_Type[[#This Row],[Column7]])</f>
        <v>8</v>
      </c>
      <c r="J81" t="str">
        <f>MID(Changed_Type[[#This Row],[Column7]],2,I81-4)</f>
        <v>8338</v>
      </c>
      <c r="M81" s="1">
        <v>8338</v>
      </c>
      <c r="N81" t="s">
        <v>362</v>
      </c>
      <c r="S81">
        <v>8915</v>
      </c>
      <c r="T81" t="s">
        <v>333</v>
      </c>
    </row>
    <row r="82" spans="1:20" x14ac:dyDescent="0.25">
      <c r="A82" s="1" t="s">
        <v>160</v>
      </c>
      <c r="B82" s="1" t="s">
        <v>159</v>
      </c>
      <c r="C82" s="1" t="s">
        <v>7</v>
      </c>
      <c r="D82" s="1" t="s">
        <v>168</v>
      </c>
      <c r="E82" s="1" t="s">
        <v>214</v>
      </c>
      <c r="F82" s="1" t="s">
        <v>158</v>
      </c>
      <c r="G82" s="1" t="s">
        <v>87</v>
      </c>
      <c r="I82">
        <f>FIND(" UD",Changed_Type[[#This Row],[Column7]])</f>
        <v>9</v>
      </c>
      <c r="J82" t="str">
        <f>MID(Changed_Type[[#This Row],[Column7]],2,I82-4)</f>
        <v>83428</v>
      </c>
      <c r="M82" s="1">
        <v>83428</v>
      </c>
      <c r="N82" t="s">
        <v>363</v>
      </c>
      <c r="S82">
        <v>8915</v>
      </c>
      <c r="T82" t="s">
        <v>405</v>
      </c>
    </row>
    <row r="83" spans="1:20" x14ac:dyDescent="0.25">
      <c r="A83" s="1" t="s">
        <v>160</v>
      </c>
      <c r="B83" s="1" t="s">
        <v>159</v>
      </c>
      <c r="C83" s="1" t="s">
        <v>7</v>
      </c>
      <c r="D83" s="1" t="s">
        <v>169</v>
      </c>
      <c r="E83" s="1" t="s">
        <v>215</v>
      </c>
      <c r="F83" s="1" t="s">
        <v>158</v>
      </c>
      <c r="G83" s="1" t="s">
        <v>88</v>
      </c>
      <c r="I83">
        <f>FIND(" UD",Changed_Type[[#This Row],[Column7]])</f>
        <v>9</v>
      </c>
      <c r="J83" t="str">
        <f>MID(Changed_Type[[#This Row],[Column7]],2,I83-4)</f>
        <v>83876</v>
      </c>
      <c r="M83" s="1">
        <v>83876</v>
      </c>
      <c r="N83" t="s">
        <v>364</v>
      </c>
      <c r="S83">
        <v>8916</v>
      </c>
      <c r="T83" t="s">
        <v>334</v>
      </c>
    </row>
    <row r="84" spans="1:20" x14ac:dyDescent="0.25">
      <c r="A84" s="1" t="s">
        <v>160</v>
      </c>
      <c r="B84" s="1" t="s">
        <v>159</v>
      </c>
      <c r="C84" s="1" t="s">
        <v>7</v>
      </c>
      <c r="D84" s="1" t="s">
        <v>169</v>
      </c>
      <c r="E84" s="1" t="s">
        <v>216</v>
      </c>
      <c r="F84" s="1" t="s">
        <v>158</v>
      </c>
      <c r="G84" s="1" t="s">
        <v>89</v>
      </c>
      <c r="I84">
        <f>FIND(" UD",Changed_Type[[#This Row],[Column7]])</f>
        <v>9</v>
      </c>
      <c r="J84" t="str">
        <f>MID(Changed_Type[[#This Row],[Column7]],2,I84-4)</f>
        <v>84409</v>
      </c>
      <c r="M84" s="1">
        <v>84409</v>
      </c>
      <c r="N84" t="s">
        <v>365</v>
      </c>
      <c r="S84">
        <v>8916</v>
      </c>
      <c r="T84" t="s">
        <v>406</v>
      </c>
    </row>
    <row r="85" spans="1:20" x14ac:dyDescent="0.25">
      <c r="A85" s="1" t="s">
        <v>160</v>
      </c>
      <c r="B85" s="1" t="s">
        <v>159</v>
      </c>
      <c r="C85" s="1" t="s">
        <v>7</v>
      </c>
      <c r="D85" s="1" t="s">
        <v>173</v>
      </c>
      <c r="E85" s="1" t="s">
        <v>217</v>
      </c>
      <c r="F85" s="1" t="s">
        <v>158</v>
      </c>
      <c r="G85" s="1" t="s">
        <v>90</v>
      </c>
      <c r="I85">
        <f>FIND(" UD",Changed_Type[[#This Row],[Column7]])</f>
        <v>9</v>
      </c>
      <c r="J85" t="str">
        <f>MID(Changed_Type[[#This Row],[Column7]],2,I85-4)</f>
        <v>85734</v>
      </c>
      <c r="M85" s="1">
        <v>85734</v>
      </c>
      <c r="N85" t="s">
        <v>366</v>
      </c>
      <c r="S85">
        <v>8924</v>
      </c>
      <c r="T85" t="s">
        <v>335</v>
      </c>
    </row>
    <row r="86" spans="1:20" x14ac:dyDescent="0.25">
      <c r="A86" s="1" t="s">
        <v>160</v>
      </c>
      <c r="B86" s="1" t="s">
        <v>159</v>
      </c>
      <c r="C86" s="1" t="s">
        <v>7</v>
      </c>
      <c r="D86" s="1" t="s">
        <v>161</v>
      </c>
      <c r="E86" s="1" t="s">
        <v>218</v>
      </c>
      <c r="F86" s="1" t="s">
        <v>158</v>
      </c>
      <c r="G86" s="1" t="s">
        <v>91</v>
      </c>
      <c r="I86">
        <f>FIND(" UD",Changed_Type[[#This Row],[Column7]])</f>
        <v>8</v>
      </c>
      <c r="J86" t="str">
        <f>MID(Changed_Type[[#This Row],[Column7]],2,I86-4)</f>
        <v>8574</v>
      </c>
      <c r="M86" s="1">
        <v>8574</v>
      </c>
      <c r="N86" t="s">
        <v>367</v>
      </c>
      <c r="S86">
        <v>8924</v>
      </c>
      <c r="T86" t="s">
        <v>407</v>
      </c>
    </row>
    <row r="87" spans="1:20" x14ac:dyDescent="0.25">
      <c r="A87" s="1" t="s">
        <v>160</v>
      </c>
      <c r="B87" s="1" t="s">
        <v>159</v>
      </c>
      <c r="C87" s="1" t="s">
        <v>7</v>
      </c>
      <c r="D87" s="1" t="s">
        <v>163</v>
      </c>
      <c r="E87" s="1" t="s">
        <v>219</v>
      </c>
      <c r="F87" s="1" t="s">
        <v>158</v>
      </c>
      <c r="G87" s="1" t="s">
        <v>92</v>
      </c>
      <c r="I87">
        <f>FIND(" UD",Changed_Type[[#This Row],[Column7]])</f>
        <v>8</v>
      </c>
      <c r="J87" t="str">
        <f>MID(Changed_Type[[#This Row],[Column7]],2,I87-4)</f>
        <v>8602</v>
      </c>
      <c r="M87" s="1">
        <v>8602</v>
      </c>
      <c r="N87" t="s">
        <v>368</v>
      </c>
      <c r="S87">
        <v>8941</v>
      </c>
      <c r="T87" t="s">
        <v>336</v>
      </c>
    </row>
    <row r="88" spans="1:20" x14ac:dyDescent="0.25">
      <c r="A88" s="1" t="s">
        <v>160</v>
      </c>
      <c r="B88" s="1" t="s">
        <v>159</v>
      </c>
      <c r="C88" s="1" t="s">
        <v>7</v>
      </c>
      <c r="D88" s="1" t="s">
        <v>163</v>
      </c>
      <c r="E88" s="1" t="s">
        <v>220</v>
      </c>
      <c r="F88" s="1" t="s">
        <v>158</v>
      </c>
      <c r="G88" s="1" t="s">
        <v>93</v>
      </c>
      <c r="I88">
        <f>FIND(" UD",Changed_Type[[#This Row],[Column7]])</f>
        <v>8</v>
      </c>
      <c r="J88" t="str">
        <f>MID(Changed_Type[[#This Row],[Column7]],2,I88-4)</f>
        <v>8603</v>
      </c>
      <c r="M88" s="1">
        <v>8603</v>
      </c>
      <c r="N88" t="s">
        <v>369</v>
      </c>
      <c r="S88">
        <v>8941</v>
      </c>
      <c r="T88" t="s">
        <v>408</v>
      </c>
    </row>
    <row r="89" spans="1:20" x14ac:dyDescent="0.25">
      <c r="A89" s="1" t="s">
        <v>160</v>
      </c>
      <c r="B89" s="1" t="s">
        <v>159</v>
      </c>
      <c r="C89" s="1" t="s">
        <v>7</v>
      </c>
      <c r="D89" s="1" t="s">
        <v>163</v>
      </c>
      <c r="E89" s="1" t="s">
        <v>221</v>
      </c>
      <c r="F89" s="1" t="s">
        <v>158</v>
      </c>
      <c r="G89" s="1" t="s">
        <v>94</v>
      </c>
      <c r="I89">
        <f>FIND(" UD",Changed_Type[[#This Row],[Column7]])</f>
        <v>8</v>
      </c>
      <c r="J89" t="str">
        <f>MID(Changed_Type[[#This Row],[Column7]],2,I89-4)</f>
        <v>8604</v>
      </c>
      <c r="M89" s="1">
        <v>8604</v>
      </c>
      <c r="N89" t="s">
        <v>370</v>
      </c>
      <c r="S89">
        <v>8955</v>
      </c>
      <c r="T89" t="s">
        <v>337</v>
      </c>
    </row>
    <row r="90" spans="1:20" x14ac:dyDescent="0.25">
      <c r="A90" s="1" t="s">
        <v>160</v>
      </c>
      <c r="B90" s="1" t="s">
        <v>159</v>
      </c>
      <c r="C90" s="1" t="s">
        <v>7</v>
      </c>
      <c r="D90" s="1" t="s">
        <v>163</v>
      </c>
      <c r="E90" s="1" t="s">
        <v>222</v>
      </c>
      <c r="F90" s="1" t="s">
        <v>158</v>
      </c>
      <c r="G90" s="1" t="s">
        <v>95</v>
      </c>
      <c r="I90">
        <f>FIND(" UD",Changed_Type[[#This Row],[Column7]])</f>
        <v>8</v>
      </c>
      <c r="J90" t="str">
        <f>MID(Changed_Type[[#This Row],[Column7]],2,I90-4)</f>
        <v>8620</v>
      </c>
      <c r="M90" s="1">
        <v>8620</v>
      </c>
      <c r="N90" t="s">
        <v>371</v>
      </c>
      <c r="S90">
        <v>8955</v>
      </c>
      <c r="T90" t="s">
        <v>409</v>
      </c>
    </row>
    <row r="91" spans="1:20" x14ac:dyDescent="0.25">
      <c r="A91" s="1" t="s">
        <v>160</v>
      </c>
      <c r="B91" s="1" t="s">
        <v>159</v>
      </c>
      <c r="C91" s="1" t="s">
        <v>7</v>
      </c>
      <c r="D91" s="1" t="s">
        <v>163</v>
      </c>
      <c r="E91" s="1" t="s">
        <v>223</v>
      </c>
      <c r="F91" s="1" t="s">
        <v>158</v>
      </c>
      <c r="G91" s="1" t="s">
        <v>96</v>
      </c>
      <c r="I91">
        <f>FIND(" UD",Changed_Type[[#This Row],[Column7]])</f>
        <v>8</v>
      </c>
      <c r="J91" t="str">
        <f>MID(Changed_Type[[#This Row],[Column7]],2,I91-4)</f>
        <v>8636</v>
      </c>
      <c r="M91" s="1">
        <v>8636</v>
      </c>
      <c r="N91" t="s">
        <v>372</v>
      </c>
      <c r="S91">
        <v>8956</v>
      </c>
      <c r="T91" t="s">
        <v>338</v>
      </c>
    </row>
    <row r="92" spans="1:20" x14ac:dyDescent="0.25">
      <c r="A92" s="1" t="s">
        <v>160</v>
      </c>
      <c r="B92" s="1" t="s">
        <v>159</v>
      </c>
      <c r="C92" s="1" t="s">
        <v>7</v>
      </c>
      <c r="D92" s="1" t="s">
        <v>163</v>
      </c>
      <c r="E92" s="1" t="s">
        <v>224</v>
      </c>
      <c r="F92" s="1" t="s">
        <v>158</v>
      </c>
      <c r="G92" s="1" t="s">
        <v>97</v>
      </c>
      <c r="I92">
        <f>FIND(" UD",Changed_Type[[#This Row],[Column7]])</f>
        <v>8</v>
      </c>
      <c r="J92" t="str">
        <f>MID(Changed_Type[[#This Row],[Column7]],2,I92-4)</f>
        <v>8649</v>
      </c>
      <c r="M92" s="1">
        <v>8649</v>
      </c>
      <c r="N92" t="s">
        <v>373</v>
      </c>
      <c r="S92">
        <v>8956</v>
      </c>
      <c r="T92" t="s">
        <v>410</v>
      </c>
    </row>
    <row r="93" spans="1:20" x14ac:dyDescent="0.25">
      <c r="A93" s="1" t="s">
        <v>160</v>
      </c>
      <c r="B93" s="1" t="s">
        <v>159</v>
      </c>
      <c r="C93" s="1" t="s">
        <v>7</v>
      </c>
      <c r="D93" s="1" t="s">
        <v>163</v>
      </c>
      <c r="E93" s="1" t="s">
        <v>225</v>
      </c>
      <c r="F93" s="1" t="s">
        <v>158</v>
      </c>
      <c r="G93" s="1" t="s">
        <v>98</v>
      </c>
      <c r="I93">
        <f>FIND(" UD",Changed_Type[[#This Row],[Column7]])</f>
        <v>8</v>
      </c>
      <c r="J93" t="str">
        <f>MID(Changed_Type[[#This Row],[Column7]],2,I93-4)</f>
        <v>8650</v>
      </c>
      <c r="M93" s="1">
        <v>8650</v>
      </c>
      <c r="N93" t="s">
        <v>374</v>
      </c>
      <c r="S93">
        <v>8959</v>
      </c>
      <c r="T93" t="s">
        <v>339</v>
      </c>
    </row>
    <row r="94" spans="1:20" x14ac:dyDescent="0.25">
      <c r="A94" s="1" t="s">
        <v>160</v>
      </c>
      <c r="B94" s="1" t="s">
        <v>159</v>
      </c>
      <c r="C94" s="1" t="s">
        <v>7</v>
      </c>
      <c r="D94" s="1" t="s">
        <v>163</v>
      </c>
      <c r="E94" s="1" t="s">
        <v>226</v>
      </c>
      <c r="F94" s="1" t="s">
        <v>158</v>
      </c>
      <c r="G94" s="1" t="s">
        <v>99</v>
      </c>
      <c r="I94">
        <f>FIND(" UD",Changed_Type[[#This Row],[Column7]])</f>
        <v>8</v>
      </c>
      <c r="J94" t="str">
        <f>MID(Changed_Type[[#This Row],[Column7]],2,I94-4)</f>
        <v>8666</v>
      </c>
      <c r="M94" s="1">
        <v>8666</v>
      </c>
      <c r="N94" t="s">
        <v>375</v>
      </c>
      <c r="S94">
        <v>8959</v>
      </c>
      <c r="T94" t="s">
        <v>411</v>
      </c>
    </row>
    <row r="95" spans="1:20" x14ac:dyDescent="0.25">
      <c r="A95" s="1" t="s">
        <v>160</v>
      </c>
      <c r="B95" s="1" t="s">
        <v>159</v>
      </c>
      <c r="C95" s="1" t="s">
        <v>7</v>
      </c>
      <c r="D95" s="1" t="s">
        <v>163</v>
      </c>
      <c r="E95" s="1" t="s">
        <v>227</v>
      </c>
      <c r="F95" s="1" t="s">
        <v>158</v>
      </c>
      <c r="G95" s="1" t="s">
        <v>100</v>
      </c>
      <c r="I95">
        <f>FIND(" UD",Changed_Type[[#This Row],[Column7]])</f>
        <v>8</v>
      </c>
      <c r="J95" t="str">
        <f>MID(Changed_Type[[#This Row],[Column7]],2,I95-4)</f>
        <v>8667</v>
      </c>
      <c r="M95" s="1">
        <v>8667</v>
      </c>
      <c r="N95" t="s">
        <v>376</v>
      </c>
      <c r="S95">
        <v>8972</v>
      </c>
      <c r="T95" t="s">
        <v>340</v>
      </c>
    </row>
    <row r="96" spans="1:20" x14ac:dyDescent="0.25">
      <c r="A96" s="1" t="s">
        <v>160</v>
      </c>
      <c r="B96" s="1" t="s">
        <v>159</v>
      </c>
      <c r="C96" s="1" t="s">
        <v>7</v>
      </c>
      <c r="D96" s="1" t="s">
        <v>163</v>
      </c>
      <c r="E96" s="1" t="s">
        <v>228</v>
      </c>
      <c r="F96" s="1" t="s">
        <v>158</v>
      </c>
      <c r="G96" s="1" t="s">
        <v>101</v>
      </c>
      <c r="I96">
        <f>FIND(" UD",Changed_Type[[#This Row],[Column7]])</f>
        <v>8</v>
      </c>
      <c r="J96" t="str">
        <f>MID(Changed_Type[[#This Row],[Column7]],2,I96-4)</f>
        <v>8668</v>
      </c>
      <c r="M96" s="1">
        <v>8668</v>
      </c>
      <c r="N96" t="s">
        <v>377</v>
      </c>
      <c r="S96">
        <v>8972</v>
      </c>
      <c r="T96" t="s">
        <v>412</v>
      </c>
    </row>
    <row r="97" spans="1:20" x14ac:dyDescent="0.25">
      <c r="A97" s="1" t="s">
        <v>160</v>
      </c>
      <c r="B97" s="1" t="s">
        <v>159</v>
      </c>
      <c r="C97" s="1" t="s">
        <v>7</v>
      </c>
      <c r="D97" s="1" t="s">
        <v>164</v>
      </c>
      <c r="E97" s="1" t="s">
        <v>229</v>
      </c>
      <c r="F97" s="1" t="s">
        <v>158</v>
      </c>
      <c r="G97" s="1" t="s">
        <v>102</v>
      </c>
      <c r="I97">
        <f>FIND(" UD",Changed_Type[[#This Row],[Column7]])</f>
        <v>8</v>
      </c>
      <c r="J97" t="str">
        <f>MID(Changed_Type[[#This Row],[Column7]],2,I97-4)</f>
        <v>8678</v>
      </c>
      <c r="M97" s="1">
        <v>8678</v>
      </c>
      <c r="N97" t="s">
        <v>378</v>
      </c>
      <c r="S97">
        <v>8973</v>
      </c>
      <c r="T97" t="s">
        <v>341</v>
      </c>
    </row>
    <row r="98" spans="1:20" x14ac:dyDescent="0.25">
      <c r="A98" s="1" t="s">
        <v>160</v>
      </c>
      <c r="B98" s="1" t="s">
        <v>159</v>
      </c>
      <c r="C98" s="1" t="s">
        <v>7</v>
      </c>
      <c r="D98" s="1" t="s">
        <v>164</v>
      </c>
      <c r="E98" s="1" t="s">
        <v>230</v>
      </c>
      <c r="F98" s="1" t="s">
        <v>158</v>
      </c>
      <c r="G98" s="1" t="s">
        <v>103</v>
      </c>
      <c r="I98">
        <f>FIND(" UD",Changed_Type[[#This Row],[Column7]])</f>
        <v>8</v>
      </c>
      <c r="J98" t="str">
        <f>MID(Changed_Type[[#This Row],[Column7]],2,I98-4)</f>
        <v>8695</v>
      </c>
      <c r="M98" s="1">
        <v>8695</v>
      </c>
      <c r="N98" t="s">
        <v>379</v>
      </c>
      <c r="S98">
        <v>8973</v>
      </c>
      <c r="T98" t="s">
        <v>413</v>
      </c>
    </row>
    <row r="99" spans="1:20" x14ac:dyDescent="0.25">
      <c r="A99" s="1" t="s">
        <v>160</v>
      </c>
      <c r="B99" s="1" t="s">
        <v>159</v>
      </c>
      <c r="C99" s="1" t="s">
        <v>7</v>
      </c>
      <c r="D99" s="1" t="s">
        <v>164</v>
      </c>
      <c r="E99" s="1" t="s">
        <v>231</v>
      </c>
      <c r="F99" s="1" t="s">
        <v>158</v>
      </c>
      <c r="G99" s="1" t="s">
        <v>104</v>
      </c>
      <c r="I99">
        <f>FIND(" UD",Changed_Type[[#This Row],[Column7]])</f>
        <v>8</v>
      </c>
      <c r="J99" t="str">
        <f>MID(Changed_Type[[#This Row],[Column7]],2,I99-4)</f>
        <v>8697</v>
      </c>
      <c r="M99" s="1">
        <v>8697</v>
      </c>
      <c r="N99" t="s">
        <v>380</v>
      </c>
      <c r="S99">
        <v>8974</v>
      </c>
      <c r="T99" t="s">
        <v>342</v>
      </c>
    </row>
    <row r="100" spans="1:20" x14ac:dyDescent="0.25">
      <c r="A100" s="1" t="s">
        <v>160</v>
      </c>
      <c r="B100" s="1" t="s">
        <v>159</v>
      </c>
      <c r="C100" s="1" t="s">
        <v>7</v>
      </c>
      <c r="D100" s="1" t="s">
        <v>164</v>
      </c>
      <c r="E100" s="1" t="s">
        <v>232</v>
      </c>
      <c r="F100" s="1" t="s">
        <v>158</v>
      </c>
      <c r="G100" s="1" t="s">
        <v>105</v>
      </c>
      <c r="I100">
        <f>FIND(" UD",Changed_Type[[#This Row],[Column7]])</f>
        <v>8</v>
      </c>
      <c r="J100" t="str">
        <f>MID(Changed_Type[[#This Row],[Column7]],2,I100-4)</f>
        <v>8715</v>
      </c>
      <c r="M100" s="1">
        <v>8715</v>
      </c>
      <c r="N100" t="s">
        <v>381</v>
      </c>
      <c r="S100">
        <v>8974</v>
      </c>
      <c r="T100" t="s">
        <v>414</v>
      </c>
    </row>
    <row r="101" spans="1:20" x14ac:dyDescent="0.25">
      <c r="A101" s="1" t="s">
        <v>160</v>
      </c>
      <c r="B101" s="1" t="s">
        <v>159</v>
      </c>
      <c r="C101" s="1" t="s">
        <v>7</v>
      </c>
      <c r="D101" s="1" t="s">
        <v>164</v>
      </c>
      <c r="E101" s="1" t="s">
        <v>233</v>
      </c>
      <c r="F101" s="1" t="s">
        <v>158</v>
      </c>
      <c r="G101" s="1" t="s">
        <v>106</v>
      </c>
      <c r="I101">
        <f>FIND(" UD",Changed_Type[[#This Row],[Column7]])</f>
        <v>8</v>
      </c>
      <c r="J101" t="str">
        <f>MID(Changed_Type[[#This Row],[Column7]],2,I101-4)</f>
        <v>8717</v>
      </c>
      <c r="M101" s="1">
        <v>8717</v>
      </c>
      <c r="N101" t="s">
        <v>382</v>
      </c>
      <c r="S101">
        <v>8988</v>
      </c>
      <c r="T101" t="s">
        <v>343</v>
      </c>
    </row>
    <row r="102" spans="1:20" x14ac:dyDescent="0.25">
      <c r="A102" s="1" t="s">
        <v>160</v>
      </c>
      <c r="B102" s="1" t="s">
        <v>159</v>
      </c>
      <c r="C102" s="1" t="s">
        <v>7</v>
      </c>
      <c r="D102" s="1" t="s">
        <v>166</v>
      </c>
      <c r="E102" s="1" t="s">
        <v>234</v>
      </c>
      <c r="F102" s="1" t="s">
        <v>158</v>
      </c>
      <c r="G102" s="1" t="s">
        <v>107</v>
      </c>
      <c r="I102">
        <f>FIND(" UD",Changed_Type[[#This Row],[Column7]])</f>
        <v>8</v>
      </c>
      <c r="J102" t="str">
        <f>MID(Changed_Type[[#This Row],[Column7]],2,I102-4)</f>
        <v>8728</v>
      </c>
      <c r="M102" s="1">
        <v>8728</v>
      </c>
      <c r="N102" t="s">
        <v>383</v>
      </c>
      <c r="S102">
        <v>8988</v>
      </c>
      <c r="T102" t="s">
        <v>415</v>
      </c>
    </row>
    <row r="103" spans="1:20" x14ac:dyDescent="0.25">
      <c r="A103" s="1" t="s">
        <v>160</v>
      </c>
      <c r="B103" s="1" t="s">
        <v>159</v>
      </c>
      <c r="C103" s="1" t="s">
        <v>7</v>
      </c>
      <c r="D103" s="1" t="s">
        <v>164</v>
      </c>
      <c r="E103" s="1" t="s">
        <v>235</v>
      </c>
      <c r="F103" s="1" t="s">
        <v>158</v>
      </c>
      <c r="G103" s="1" t="s">
        <v>108</v>
      </c>
      <c r="I103">
        <f>FIND(" UD",Changed_Type[[#This Row],[Column7]])</f>
        <v>8</v>
      </c>
      <c r="J103" t="str">
        <f>MID(Changed_Type[[#This Row],[Column7]],2,I103-4)</f>
        <v>8729</v>
      </c>
      <c r="M103" s="1">
        <v>8729</v>
      </c>
      <c r="N103" t="s">
        <v>384</v>
      </c>
      <c r="S103">
        <v>9003</v>
      </c>
      <c r="T103" t="s">
        <v>344</v>
      </c>
    </row>
    <row r="104" spans="1:20" x14ac:dyDescent="0.25">
      <c r="A104" s="1" t="s">
        <v>160</v>
      </c>
      <c r="B104" s="1" t="s">
        <v>159</v>
      </c>
      <c r="C104" s="1" t="s">
        <v>7</v>
      </c>
      <c r="D104" s="1" t="s">
        <v>166</v>
      </c>
      <c r="E104" s="1" t="s">
        <v>236</v>
      </c>
      <c r="F104" s="1" t="s">
        <v>158</v>
      </c>
      <c r="G104" s="1" t="s">
        <v>109</v>
      </c>
      <c r="I104">
        <f>FIND(" UD",Changed_Type[[#This Row],[Column7]])</f>
        <v>8</v>
      </c>
      <c r="J104" t="str">
        <f>MID(Changed_Type[[#This Row],[Column7]],2,I104-4)</f>
        <v>8730</v>
      </c>
      <c r="M104" s="1">
        <v>8730</v>
      </c>
      <c r="N104" t="s">
        <v>385</v>
      </c>
      <c r="S104">
        <v>9003</v>
      </c>
      <c r="T104" t="s">
        <v>416</v>
      </c>
    </row>
    <row r="105" spans="1:20" x14ac:dyDescent="0.25">
      <c r="A105" s="1" t="s">
        <v>160</v>
      </c>
      <c r="B105" s="1" t="s">
        <v>159</v>
      </c>
      <c r="C105" s="1" t="s">
        <v>7</v>
      </c>
      <c r="D105" s="1" t="s">
        <v>166</v>
      </c>
      <c r="E105" s="1" t="s">
        <v>237</v>
      </c>
      <c r="F105" s="1" t="s">
        <v>158</v>
      </c>
      <c r="G105" s="1" t="s">
        <v>110</v>
      </c>
      <c r="I105">
        <f>FIND(" UD",Changed_Type[[#This Row],[Column7]])</f>
        <v>8</v>
      </c>
      <c r="J105" t="str">
        <f>MID(Changed_Type[[#This Row],[Column7]],2,I105-4)</f>
        <v>8740</v>
      </c>
      <c r="M105" s="1">
        <v>8740</v>
      </c>
      <c r="N105" t="s">
        <v>386</v>
      </c>
      <c r="S105">
        <v>9006</v>
      </c>
      <c r="T105" t="s">
        <v>345</v>
      </c>
    </row>
    <row r="106" spans="1:20" x14ac:dyDescent="0.25">
      <c r="A106" s="1" t="s">
        <v>160</v>
      </c>
      <c r="B106" s="1" t="s">
        <v>159</v>
      </c>
      <c r="C106" s="1" t="s">
        <v>7</v>
      </c>
      <c r="D106" s="1" t="s">
        <v>166</v>
      </c>
      <c r="E106" s="1" t="s">
        <v>238</v>
      </c>
      <c r="F106" s="1" t="s">
        <v>158</v>
      </c>
      <c r="G106" s="1" t="s">
        <v>111</v>
      </c>
      <c r="I106">
        <f>FIND(" UD",Changed_Type[[#This Row],[Column7]])</f>
        <v>8</v>
      </c>
      <c r="J106" t="str">
        <f>MID(Changed_Type[[#This Row],[Column7]],2,I106-4)</f>
        <v>8756</v>
      </c>
      <c r="M106" s="1">
        <v>8756</v>
      </c>
      <c r="N106" t="s">
        <v>387</v>
      </c>
      <c r="S106">
        <v>9006</v>
      </c>
      <c r="T106" t="s">
        <v>417</v>
      </c>
    </row>
    <row r="107" spans="1:20" x14ac:dyDescent="0.25">
      <c r="A107" s="1" t="s">
        <v>160</v>
      </c>
      <c r="B107" s="1" t="s">
        <v>159</v>
      </c>
      <c r="C107" s="1" t="s">
        <v>7</v>
      </c>
      <c r="D107" s="1" t="s">
        <v>166</v>
      </c>
      <c r="E107" s="1" t="s">
        <v>239</v>
      </c>
      <c r="F107" s="1" t="s">
        <v>158</v>
      </c>
      <c r="G107" s="1" t="s">
        <v>112</v>
      </c>
      <c r="I107">
        <f>FIND(" UD",Changed_Type[[#This Row],[Column7]])</f>
        <v>8</v>
      </c>
      <c r="J107" t="str">
        <f>MID(Changed_Type[[#This Row],[Column7]],2,I107-4)</f>
        <v>8768</v>
      </c>
      <c r="M107" s="1">
        <v>8768</v>
      </c>
      <c r="N107" t="s">
        <v>388</v>
      </c>
      <c r="S107">
        <v>9013</v>
      </c>
      <c r="T107" t="s">
        <v>346</v>
      </c>
    </row>
    <row r="108" spans="1:20" x14ac:dyDescent="0.25">
      <c r="A108" s="1" t="s">
        <v>160</v>
      </c>
      <c r="B108" s="1" t="s">
        <v>159</v>
      </c>
      <c r="C108" s="1" t="s">
        <v>7</v>
      </c>
      <c r="D108" s="1" t="s">
        <v>166</v>
      </c>
      <c r="E108" s="1" t="s">
        <v>240</v>
      </c>
      <c r="F108" s="1" t="s">
        <v>158</v>
      </c>
      <c r="G108" s="1" t="s">
        <v>113</v>
      </c>
      <c r="I108">
        <f>FIND(" UD",Changed_Type[[#This Row],[Column7]])</f>
        <v>8</v>
      </c>
      <c r="J108" t="str">
        <f>MID(Changed_Type[[#This Row],[Column7]],2,I108-4)</f>
        <v>8769</v>
      </c>
      <c r="M108" s="1">
        <v>8769</v>
      </c>
      <c r="N108" t="s">
        <v>389</v>
      </c>
      <c r="S108">
        <v>9013</v>
      </c>
      <c r="T108" t="s">
        <v>418</v>
      </c>
    </row>
    <row r="109" spans="1:20" x14ac:dyDescent="0.25">
      <c r="A109" s="1" t="s">
        <v>160</v>
      </c>
      <c r="B109" s="1" t="s">
        <v>159</v>
      </c>
      <c r="C109" s="1" t="s">
        <v>7</v>
      </c>
      <c r="D109" s="1" t="s">
        <v>168</v>
      </c>
      <c r="E109" s="1" t="s">
        <v>241</v>
      </c>
      <c r="F109" s="1" t="s">
        <v>158</v>
      </c>
      <c r="G109" s="1" t="s">
        <v>114</v>
      </c>
      <c r="I109">
        <f>FIND(" UD",Changed_Type[[#This Row],[Column7]])</f>
        <v>8</v>
      </c>
      <c r="J109" t="str">
        <f>MID(Changed_Type[[#This Row],[Column7]],2,I109-4)</f>
        <v>8789</v>
      </c>
      <c r="M109" s="1">
        <v>8789</v>
      </c>
      <c r="N109" t="s">
        <v>390</v>
      </c>
      <c r="S109">
        <v>9014</v>
      </c>
      <c r="T109" t="s">
        <v>347</v>
      </c>
    </row>
    <row r="110" spans="1:20" x14ac:dyDescent="0.25">
      <c r="A110" s="1" t="s">
        <v>160</v>
      </c>
      <c r="B110" s="1" t="s">
        <v>159</v>
      </c>
      <c r="C110" s="1" t="s">
        <v>7</v>
      </c>
      <c r="D110" s="1" t="s">
        <v>166</v>
      </c>
      <c r="E110" s="1" t="s">
        <v>242</v>
      </c>
      <c r="F110" s="1" t="s">
        <v>158</v>
      </c>
      <c r="G110" s="1" t="s">
        <v>115</v>
      </c>
      <c r="I110">
        <f>FIND(" UD",Changed_Type[[#This Row],[Column7]])</f>
        <v>8</v>
      </c>
      <c r="J110" t="str">
        <f>MID(Changed_Type[[#This Row],[Column7]],2,I110-4)</f>
        <v>8790</v>
      </c>
      <c r="M110" s="1">
        <v>8790</v>
      </c>
      <c r="N110" t="s">
        <v>391</v>
      </c>
      <c r="S110">
        <v>9014</v>
      </c>
      <c r="T110" t="s">
        <v>419</v>
      </c>
    </row>
    <row r="111" spans="1:20" x14ac:dyDescent="0.25">
      <c r="A111" s="1" t="s">
        <v>160</v>
      </c>
      <c r="B111" s="1" t="s">
        <v>159</v>
      </c>
      <c r="C111" s="1" t="s">
        <v>7</v>
      </c>
      <c r="D111" s="1" t="s">
        <v>166</v>
      </c>
      <c r="E111" s="1" t="s">
        <v>243</v>
      </c>
      <c r="F111" s="1" t="s">
        <v>158</v>
      </c>
      <c r="G111" s="1" t="s">
        <v>116</v>
      </c>
      <c r="I111">
        <f>FIND(" UD",Changed_Type[[#This Row],[Column7]])</f>
        <v>8</v>
      </c>
      <c r="J111" t="str">
        <f>MID(Changed_Type[[#This Row],[Column7]],2,I111-4)</f>
        <v>8791</v>
      </c>
      <c r="M111" s="1">
        <v>8791</v>
      </c>
      <c r="N111" t="s">
        <v>392</v>
      </c>
      <c r="S111" s="2">
        <v>9030</v>
      </c>
      <c r="T111" s="2" t="s">
        <v>348</v>
      </c>
    </row>
    <row r="112" spans="1:20" x14ac:dyDescent="0.25">
      <c r="A112" s="1" t="s">
        <v>160</v>
      </c>
      <c r="B112" s="1" t="s">
        <v>159</v>
      </c>
      <c r="C112" s="1" t="s">
        <v>7</v>
      </c>
      <c r="D112" s="1" t="s">
        <v>168</v>
      </c>
      <c r="E112" s="1" t="s">
        <v>244</v>
      </c>
      <c r="F112" s="1" t="s">
        <v>158</v>
      </c>
      <c r="G112" s="1" t="s">
        <v>117</v>
      </c>
      <c r="I112">
        <f>FIND(" UD",Changed_Type[[#This Row],[Column7]])</f>
        <v>8</v>
      </c>
      <c r="J112" t="str">
        <f>MID(Changed_Type[[#This Row],[Column7]],2,I112-4)</f>
        <v>8833</v>
      </c>
      <c r="M112" s="1">
        <v>8833</v>
      </c>
      <c r="N112" t="s">
        <v>393</v>
      </c>
      <c r="S112" s="2">
        <v>9031</v>
      </c>
      <c r="T112" s="2" t="s">
        <v>420</v>
      </c>
    </row>
    <row r="113" spans="1:20" x14ac:dyDescent="0.25">
      <c r="A113" s="1" t="s">
        <v>160</v>
      </c>
      <c r="B113" s="1" t="s">
        <v>159</v>
      </c>
      <c r="C113" s="1" t="s">
        <v>7</v>
      </c>
      <c r="D113" s="1" t="s">
        <v>168</v>
      </c>
      <c r="E113" s="1" t="s">
        <v>245</v>
      </c>
      <c r="F113" s="1" t="s">
        <v>158</v>
      </c>
      <c r="G113" s="1" t="s">
        <v>118</v>
      </c>
      <c r="I113">
        <f>FIND(" UD",Changed_Type[[#This Row],[Column7]])</f>
        <v>8</v>
      </c>
      <c r="J113" t="str">
        <f>MID(Changed_Type[[#This Row],[Column7]],2,I113-4)</f>
        <v>8835</v>
      </c>
      <c r="M113" s="1">
        <v>8835</v>
      </c>
      <c r="N113" t="s">
        <v>394</v>
      </c>
      <c r="S113" s="2">
        <v>9032</v>
      </c>
      <c r="T113" s="2" t="s">
        <v>421</v>
      </c>
    </row>
    <row r="114" spans="1:20" x14ac:dyDescent="0.25">
      <c r="A114" s="1" t="s">
        <v>160</v>
      </c>
      <c r="B114" s="1" t="s">
        <v>159</v>
      </c>
      <c r="C114" s="1" t="s">
        <v>7</v>
      </c>
      <c r="D114" s="1" t="s">
        <v>168</v>
      </c>
      <c r="E114" s="1" t="s">
        <v>246</v>
      </c>
      <c r="F114" s="1" t="s">
        <v>158</v>
      </c>
      <c r="G114" s="1" t="s">
        <v>119</v>
      </c>
      <c r="I114">
        <f>FIND(" UD",Changed_Type[[#This Row],[Column7]])</f>
        <v>8</v>
      </c>
      <c r="J114" t="str">
        <f>MID(Changed_Type[[#This Row],[Column7]],2,I114-4)</f>
        <v>8842</v>
      </c>
      <c r="M114" s="1">
        <v>8842</v>
      </c>
      <c r="N114" t="s">
        <v>395</v>
      </c>
      <c r="S114">
        <v>9048</v>
      </c>
      <c r="T114" t="s">
        <v>349</v>
      </c>
    </row>
    <row r="115" spans="1:20" x14ac:dyDescent="0.25">
      <c r="A115" s="1" t="s">
        <v>160</v>
      </c>
      <c r="B115" s="1" t="s">
        <v>159</v>
      </c>
      <c r="C115" s="1" t="s">
        <v>7</v>
      </c>
      <c r="D115" s="1" t="s">
        <v>168</v>
      </c>
      <c r="E115" s="1" t="s">
        <v>247</v>
      </c>
      <c r="F115" s="1" t="s">
        <v>158</v>
      </c>
      <c r="G115" s="1" t="s">
        <v>120</v>
      </c>
      <c r="I115">
        <f>FIND(" UD",Changed_Type[[#This Row],[Column7]])</f>
        <v>8</v>
      </c>
      <c r="J115" t="str">
        <f>MID(Changed_Type[[#This Row],[Column7]],2,I115-4)</f>
        <v>8843</v>
      </c>
      <c r="M115" s="1">
        <v>8843</v>
      </c>
      <c r="N115" t="s">
        <v>396</v>
      </c>
      <c r="S115">
        <v>9048</v>
      </c>
      <c r="T115" t="s">
        <v>422</v>
      </c>
    </row>
    <row r="116" spans="1:20" x14ac:dyDescent="0.25">
      <c r="A116" s="1" t="s">
        <v>160</v>
      </c>
      <c r="B116" s="1" t="s">
        <v>159</v>
      </c>
      <c r="C116" s="1" t="s">
        <v>7</v>
      </c>
      <c r="D116" s="1" t="s">
        <v>195</v>
      </c>
      <c r="E116" s="1" t="s">
        <v>248</v>
      </c>
      <c r="F116" s="1" t="s">
        <v>158</v>
      </c>
      <c r="G116" s="1" t="s">
        <v>121</v>
      </c>
      <c r="I116">
        <f>FIND(" UD",Changed_Type[[#This Row],[Column7]])</f>
        <v>8</v>
      </c>
      <c r="J116" t="str">
        <f>MID(Changed_Type[[#This Row],[Column7]],2,I116-4)</f>
        <v>8851</v>
      </c>
      <c r="M116" s="1">
        <v>8851</v>
      </c>
      <c r="N116" t="s">
        <v>397</v>
      </c>
      <c r="S116" s="2">
        <v>9074</v>
      </c>
      <c r="T116" s="2" t="s">
        <v>423</v>
      </c>
    </row>
    <row r="117" spans="1:20" x14ac:dyDescent="0.25">
      <c r="A117" s="1" t="s">
        <v>160</v>
      </c>
      <c r="B117" s="1" t="s">
        <v>159</v>
      </c>
      <c r="C117" s="1" t="s">
        <v>7</v>
      </c>
      <c r="D117" s="1" t="s">
        <v>168</v>
      </c>
      <c r="E117" s="1" t="s">
        <v>249</v>
      </c>
      <c r="F117" s="1" t="s">
        <v>158</v>
      </c>
      <c r="G117" s="1" t="s">
        <v>122</v>
      </c>
      <c r="I117">
        <f>FIND(" UD",Changed_Type[[#This Row],[Column7]])</f>
        <v>8</v>
      </c>
      <c r="J117" t="str">
        <f>MID(Changed_Type[[#This Row],[Column7]],2,I117-4)</f>
        <v>8852</v>
      </c>
      <c r="M117" s="1">
        <v>8852</v>
      </c>
      <c r="N117" t="s">
        <v>398</v>
      </c>
      <c r="S117">
        <v>9091</v>
      </c>
      <c r="T117" t="s">
        <v>350</v>
      </c>
    </row>
    <row r="118" spans="1:20" x14ac:dyDescent="0.25">
      <c r="A118" s="1" t="s">
        <v>160</v>
      </c>
      <c r="B118" s="1" t="s">
        <v>159</v>
      </c>
      <c r="C118" s="1" t="s">
        <v>7</v>
      </c>
      <c r="D118" s="1" t="s">
        <v>195</v>
      </c>
      <c r="E118" s="1" t="s">
        <v>250</v>
      </c>
      <c r="F118" s="1" t="s">
        <v>158</v>
      </c>
      <c r="G118" s="1" t="s">
        <v>123</v>
      </c>
      <c r="I118">
        <f>FIND(" UD",Changed_Type[[#This Row],[Column7]])</f>
        <v>8</v>
      </c>
      <c r="J118" t="str">
        <f>MID(Changed_Type[[#This Row],[Column7]],2,I118-4)</f>
        <v>8853</v>
      </c>
      <c r="M118" s="1">
        <v>8853</v>
      </c>
      <c r="N118" t="s">
        <v>399</v>
      </c>
      <c r="S118">
        <v>9091</v>
      </c>
      <c r="T118" t="s">
        <v>424</v>
      </c>
    </row>
    <row r="119" spans="1:20" x14ac:dyDescent="0.25">
      <c r="A119" s="1" t="s">
        <v>160</v>
      </c>
      <c r="B119" s="1" t="s">
        <v>159</v>
      </c>
      <c r="C119" s="1" t="s">
        <v>7</v>
      </c>
      <c r="D119" s="1" t="s">
        <v>195</v>
      </c>
      <c r="E119" s="1" t="s">
        <v>251</v>
      </c>
      <c r="F119" s="1" t="s">
        <v>158</v>
      </c>
      <c r="G119" s="1" t="s">
        <v>124</v>
      </c>
      <c r="I119">
        <f>FIND(" UD",Changed_Type[[#This Row],[Column7]])</f>
        <v>8</v>
      </c>
      <c r="J119" t="str">
        <f>MID(Changed_Type[[#This Row],[Column7]],2,I119-4)</f>
        <v>8869</v>
      </c>
      <c r="M119" s="1">
        <v>8869</v>
      </c>
      <c r="N119" t="s">
        <v>400</v>
      </c>
      <c r="S119">
        <v>9092</v>
      </c>
      <c r="T119" t="s">
        <v>351</v>
      </c>
    </row>
    <row r="120" spans="1:20" x14ac:dyDescent="0.25">
      <c r="A120" s="1" t="s">
        <v>160</v>
      </c>
      <c r="B120" s="1" t="s">
        <v>159</v>
      </c>
      <c r="C120" s="1" t="s">
        <v>7</v>
      </c>
      <c r="D120" s="1" t="s">
        <v>195</v>
      </c>
      <c r="E120" s="1" t="s">
        <v>252</v>
      </c>
      <c r="F120" s="1" t="s">
        <v>158</v>
      </c>
      <c r="G120" s="1" t="s">
        <v>125</v>
      </c>
      <c r="I120">
        <f>FIND(" UD",Changed_Type[[#This Row],[Column7]])</f>
        <v>8</v>
      </c>
      <c r="J120" t="str">
        <f>MID(Changed_Type[[#This Row],[Column7]],2,I120-4)</f>
        <v>8892</v>
      </c>
      <c r="M120" s="1">
        <v>8892</v>
      </c>
      <c r="N120" t="s">
        <v>401</v>
      </c>
      <c r="S120">
        <v>9092</v>
      </c>
      <c r="T120" t="s">
        <v>425</v>
      </c>
    </row>
    <row r="121" spans="1:20" x14ac:dyDescent="0.25">
      <c r="A121" s="1" t="s">
        <v>160</v>
      </c>
      <c r="B121" s="1" t="s">
        <v>159</v>
      </c>
      <c r="C121" s="1" t="s">
        <v>7</v>
      </c>
      <c r="D121" s="1" t="s">
        <v>195</v>
      </c>
      <c r="E121" s="1" t="s">
        <v>253</v>
      </c>
      <c r="F121" s="1" t="s">
        <v>158</v>
      </c>
      <c r="G121" s="1" t="s">
        <v>126</v>
      </c>
      <c r="I121">
        <f>FIND(" UD",Changed_Type[[#This Row],[Column7]])</f>
        <v>8</v>
      </c>
      <c r="J121" t="str">
        <f>MID(Changed_Type[[#This Row],[Column7]],2,I121-4)</f>
        <v>8905</v>
      </c>
      <c r="M121" s="1">
        <v>8905</v>
      </c>
      <c r="N121" t="s">
        <v>402</v>
      </c>
      <c r="S121">
        <v>9099</v>
      </c>
      <c r="T121" t="s">
        <v>352</v>
      </c>
    </row>
    <row r="122" spans="1:20" x14ac:dyDescent="0.25">
      <c r="A122" s="1" t="s">
        <v>160</v>
      </c>
      <c r="B122" s="1" t="s">
        <v>159</v>
      </c>
      <c r="C122" s="1" t="s">
        <v>7</v>
      </c>
      <c r="D122" s="1" t="s">
        <v>195</v>
      </c>
      <c r="E122" s="1" t="s">
        <v>254</v>
      </c>
      <c r="F122" s="1" t="s">
        <v>158</v>
      </c>
      <c r="G122" s="1" t="s">
        <v>127</v>
      </c>
      <c r="I122">
        <f>FIND(" UD",Changed_Type[[#This Row],[Column7]])</f>
        <v>8</v>
      </c>
      <c r="J122" t="str">
        <f>MID(Changed_Type[[#This Row],[Column7]],2,I122-4)</f>
        <v>8906</v>
      </c>
      <c r="M122" s="1">
        <v>8906</v>
      </c>
      <c r="N122" t="s">
        <v>403</v>
      </c>
      <c r="S122">
        <v>9099</v>
      </c>
      <c r="T122" t="s">
        <v>426</v>
      </c>
    </row>
    <row r="123" spans="1:20" x14ac:dyDescent="0.25">
      <c r="A123" s="1" t="s">
        <v>160</v>
      </c>
      <c r="B123" s="1" t="s">
        <v>159</v>
      </c>
      <c r="C123" s="1" t="s">
        <v>7</v>
      </c>
      <c r="D123" s="1" t="s">
        <v>169</v>
      </c>
      <c r="E123" s="1" t="s">
        <v>255</v>
      </c>
      <c r="F123" s="1" t="s">
        <v>158</v>
      </c>
      <c r="G123" s="1" t="s">
        <v>128</v>
      </c>
      <c r="I123">
        <f>FIND(" UD",Changed_Type[[#This Row],[Column7]])</f>
        <v>8</v>
      </c>
      <c r="J123" t="str">
        <f>MID(Changed_Type[[#This Row],[Column7]],2,I123-4)</f>
        <v>8914</v>
      </c>
      <c r="M123" s="1">
        <v>8914</v>
      </c>
      <c r="N123" t="s">
        <v>404</v>
      </c>
      <c r="S123">
        <v>9100</v>
      </c>
      <c r="T123" t="s">
        <v>353</v>
      </c>
    </row>
    <row r="124" spans="1:20" x14ac:dyDescent="0.25">
      <c r="A124" s="1" t="s">
        <v>160</v>
      </c>
      <c r="B124" s="1" t="s">
        <v>159</v>
      </c>
      <c r="C124" s="1" t="s">
        <v>7</v>
      </c>
      <c r="D124" s="1" t="s">
        <v>169</v>
      </c>
      <c r="E124" s="1" t="s">
        <v>256</v>
      </c>
      <c r="F124" s="1" t="s">
        <v>158</v>
      </c>
      <c r="G124" s="1" t="s">
        <v>129</v>
      </c>
      <c r="I124">
        <f>FIND(" UD",Changed_Type[[#This Row],[Column7]])</f>
        <v>8</v>
      </c>
      <c r="J124" t="str">
        <f>MID(Changed_Type[[#This Row],[Column7]],2,I124-4)</f>
        <v>8915</v>
      </c>
      <c r="M124" s="1">
        <v>8915</v>
      </c>
      <c r="N124" t="s">
        <v>405</v>
      </c>
      <c r="S124">
        <v>9100</v>
      </c>
      <c r="T124" t="s">
        <v>427</v>
      </c>
    </row>
    <row r="125" spans="1:20" x14ac:dyDescent="0.25">
      <c r="A125" s="1" t="s">
        <v>160</v>
      </c>
      <c r="B125" s="1" t="s">
        <v>159</v>
      </c>
      <c r="C125" s="1" t="s">
        <v>7</v>
      </c>
      <c r="D125" s="1" t="s">
        <v>195</v>
      </c>
      <c r="E125" s="1" t="s">
        <v>257</v>
      </c>
      <c r="F125" s="1" t="s">
        <v>158</v>
      </c>
      <c r="G125" s="1" t="s">
        <v>130</v>
      </c>
      <c r="I125">
        <f>FIND(" UD",Changed_Type[[#This Row],[Column7]])</f>
        <v>8</v>
      </c>
      <c r="J125" t="str">
        <f>MID(Changed_Type[[#This Row],[Column7]],2,I125-4)</f>
        <v>8916</v>
      </c>
      <c r="M125" s="1">
        <v>8916</v>
      </c>
      <c r="N125" t="s">
        <v>406</v>
      </c>
      <c r="S125">
        <v>9101</v>
      </c>
      <c r="T125" t="s">
        <v>354</v>
      </c>
    </row>
    <row r="126" spans="1:20" x14ac:dyDescent="0.25">
      <c r="A126" s="1" t="s">
        <v>160</v>
      </c>
      <c r="B126" s="1" t="s">
        <v>159</v>
      </c>
      <c r="C126" s="1" t="s">
        <v>7</v>
      </c>
      <c r="D126" s="1" t="s">
        <v>169</v>
      </c>
      <c r="E126" s="1" t="s">
        <v>258</v>
      </c>
      <c r="F126" s="1" t="s">
        <v>158</v>
      </c>
      <c r="G126" s="1" t="s">
        <v>131</v>
      </c>
      <c r="I126">
        <f>FIND(" UD",Changed_Type[[#This Row],[Column7]])</f>
        <v>8</v>
      </c>
      <c r="J126" t="str">
        <f>MID(Changed_Type[[#This Row],[Column7]],2,I126-4)</f>
        <v>8924</v>
      </c>
      <c r="M126" s="1">
        <v>8924</v>
      </c>
      <c r="N126" t="s">
        <v>407</v>
      </c>
      <c r="S126">
        <v>9101</v>
      </c>
      <c r="T126" t="s">
        <v>428</v>
      </c>
    </row>
    <row r="127" spans="1:20" x14ac:dyDescent="0.25">
      <c r="A127" s="1" t="s">
        <v>160</v>
      </c>
      <c r="B127" s="1" t="s">
        <v>159</v>
      </c>
      <c r="C127" s="1" t="s">
        <v>7</v>
      </c>
      <c r="D127" s="1" t="s">
        <v>169</v>
      </c>
      <c r="E127" s="1" t="s">
        <v>259</v>
      </c>
      <c r="F127" s="1" t="s">
        <v>158</v>
      </c>
      <c r="G127" s="1" t="s">
        <v>132</v>
      </c>
      <c r="I127">
        <f>FIND(" UD",Changed_Type[[#This Row],[Column7]])</f>
        <v>8</v>
      </c>
      <c r="J127" t="str">
        <f>MID(Changed_Type[[#This Row],[Column7]],2,I127-4)</f>
        <v>8941</v>
      </c>
      <c r="M127" s="1">
        <v>8941</v>
      </c>
      <c r="N127" t="s">
        <v>408</v>
      </c>
      <c r="S127">
        <v>9121</v>
      </c>
      <c r="T127" t="s">
        <v>355</v>
      </c>
    </row>
    <row r="128" spans="1:20" x14ac:dyDescent="0.25">
      <c r="A128" s="1" t="s">
        <v>160</v>
      </c>
      <c r="B128" s="1" t="s">
        <v>159</v>
      </c>
      <c r="C128" s="1" t="s">
        <v>7</v>
      </c>
      <c r="D128" s="1" t="s">
        <v>169</v>
      </c>
      <c r="E128" s="1" t="s">
        <v>260</v>
      </c>
      <c r="F128" s="1" t="s">
        <v>158</v>
      </c>
      <c r="G128" s="1" t="s">
        <v>133</v>
      </c>
      <c r="I128">
        <f>FIND(" UD",Changed_Type[[#This Row],[Column7]])</f>
        <v>8</v>
      </c>
      <c r="J128" t="str">
        <f>MID(Changed_Type[[#This Row],[Column7]],2,I128-4)</f>
        <v>8955</v>
      </c>
      <c r="M128" s="1">
        <v>8955</v>
      </c>
      <c r="N128" t="s">
        <v>409</v>
      </c>
      <c r="S128">
        <v>9121</v>
      </c>
      <c r="T128" t="s">
        <v>429</v>
      </c>
    </row>
    <row r="129" spans="1:20" x14ac:dyDescent="0.25">
      <c r="A129" s="1" t="s">
        <v>160</v>
      </c>
      <c r="B129" s="1" t="s">
        <v>159</v>
      </c>
      <c r="C129" s="1" t="s">
        <v>7</v>
      </c>
      <c r="D129" s="1" t="s">
        <v>169</v>
      </c>
      <c r="E129" s="1" t="s">
        <v>261</v>
      </c>
      <c r="F129" s="1" t="s">
        <v>158</v>
      </c>
      <c r="G129" s="1" t="s">
        <v>134</v>
      </c>
      <c r="I129">
        <f>FIND(" UD",Changed_Type[[#This Row],[Column7]])</f>
        <v>8</v>
      </c>
      <c r="J129" t="str">
        <f>MID(Changed_Type[[#This Row],[Column7]],2,I129-4)</f>
        <v>8956</v>
      </c>
      <c r="M129" s="1">
        <v>8956</v>
      </c>
      <c r="N129" t="s">
        <v>410</v>
      </c>
      <c r="S129">
        <v>9140</v>
      </c>
      <c r="T129" t="s">
        <v>356</v>
      </c>
    </row>
    <row r="130" spans="1:20" x14ac:dyDescent="0.25">
      <c r="A130" s="1" t="s">
        <v>160</v>
      </c>
      <c r="B130" s="1" t="s">
        <v>159</v>
      </c>
      <c r="C130" s="1" t="s">
        <v>7</v>
      </c>
      <c r="D130" s="1" t="s">
        <v>169</v>
      </c>
      <c r="E130" s="1" t="s">
        <v>262</v>
      </c>
      <c r="F130" s="1" t="s">
        <v>158</v>
      </c>
      <c r="G130" s="1" t="s">
        <v>135</v>
      </c>
      <c r="I130">
        <f>FIND(" UD",Changed_Type[[#This Row],[Column7]])</f>
        <v>8</v>
      </c>
      <c r="J130" t="str">
        <f>MID(Changed_Type[[#This Row],[Column7]],2,I130-4)</f>
        <v>8959</v>
      </c>
      <c r="M130" s="1">
        <v>8959</v>
      </c>
      <c r="N130" t="s">
        <v>411</v>
      </c>
      <c r="S130">
        <v>9140</v>
      </c>
      <c r="T130" t="s">
        <v>430</v>
      </c>
    </row>
    <row r="131" spans="1:20" x14ac:dyDescent="0.25">
      <c r="A131" s="1" t="s">
        <v>160</v>
      </c>
      <c r="B131" s="1" t="s">
        <v>159</v>
      </c>
      <c r="C131" s="1" t="s">
        <v>7</v>
      </c>
      <c r="D131" s="1" t="s">
        <v>202</v>
      </c>
      <c r="E131" s="1" t="s">
        <v>263</v>
      </c>
      <c r="F131" s="1" t="s">
        <v>158</v>
      </c>
      <c r="G131" s="1" t="s">
        <v>136</v>
      </c>
      <c r="I131">
        <f>FIND(" UD",Changed_Type[[#This Row],[Column7]])</f>
        <v>8</v>
      </c>
      <c r="J131" t="str">
        <f>MID(Changed_Type[[#This Row],[Column7]],2,I131-4)</f>
        <v>8972</v>
      </c>
      <c r="M131" s="1">
        <v>8972</v>
      </c>
      <c r="N131" t="s">
        <v>412</v>
      </c>
      <c r="S131">
        <v>9141</v>
      </c>
      <c r="T131" t="s">
        <v>357</v>
      </c>
    </row>
    <row r="132" spans="1:20" x14ac:dyDescent="0.25">
      <c r="A132" s="1" t="s">
        <v>160</v>
      </c>
      <c r="B132" s="1" t="s">
        <v>159</v>
      </c>
      <c r="C132" s="1" t="s">
        <v>7</v>
      </c>
      <c r="D132" s="1" t="s">
        <v>202</v>
      </c>
      <c r="E132" s="1" t="s">
        <v>264</v>
      </c>
      <c r="F132" s="1" t="s">
        <v>158</v>
      </c>
      <c r="G132" s="1" t="s">
        <v>137</v>
      </c>
      <c r="I132">
        <f>FIND(" UD",Changed_Type[[#This Row],[Column7]])</f>
        <v>8</v>
      </c>
      <c r="J132" t="str">
        <f>MID(Changed_Type[[#This Row],[Column7]],2,I132-4)</f>
        <v>8973</v>
      </c>
      <c r="M132" s="1">
        <v>8973</v>
      </c>
      <c r="N132" t="s">
        <v>413</v>
      </c>
      <c r="S132">
        <v>9141</v>
      </c>
      <c r="T132" t="s">
        <v>431</v>
      </c>
    </row>
    <row r="133" spans="1:20" x14ac:dyDescent="0.25">
      <c r="A133" s="1" t="s">
        <v>160</v>
      </c>
      <c r="B133" s="1" t="s">
        <v>159</v>
      </c>
      <c r="C133" s="1" t="s">
        <v>7</v>
      </c>
      <c r="D133" s="1" t="s">
        <v>202</v>
      </c>
      <c r="E133" s="1" t="s">
        <v>265</v>
      </c>
      <c r="F133" s="1" t="s">
        <v>158</v>
      </c>
      <c r="G133" s="1" t="s">
        <v>138</v>
      </c>
      <c r="I133">
        <f>FIND(" UD",Changed_Type[[#This Row],[Column7]])</f>
        <v>8</v>
      </c>
      <c r="J133" t="str">
        <f>MID(Changed_Type[[#This Row],[Column7]],2,I133-4)</f>
        <v>8974</v>
      </c>
      <c r="M133" s="1">
        <v>8974</v>
      </c>
      <c r="N133" t="s">
        <v>414</v>
      </c>
      <c r="S133">
        <v>80668</v>
      </c>
      <c r="T133" t="s">
        <v>283</v>
      </c>
    </row>
    <row r="134" spans="1:20" x14ac:dyDescent="0.25">
      <c r="A134" s="1" t="s">
        <v>160</v>
      </c>
      <c r="B134" s="1" t="s">
        <v>159</v>
      </c>
      <c r="C134" s="1" t="s">
        <v>7</v>
      </c>
      <c r="D134" s="1" t="s">
        <v>202</v>
      </c>
      <c r="E134" s="1" t="s">
        <v>266</v>
      </c>
      <c r="F134" s="1" t="s">
        <v>158</v>
      </c>
      <c r="G134" s="1" t="s">
        <v>139</v>
      </c>
      <c r="I134">
        <f>FIND(" UD",Changed_Type[[#This Row],[Column7]])</f>
        <v>8</v>
      </c>
      <c r="J134" t="str">
        <f>MID(Changed_Type[[#This Row],[Column7]],2,I134-4)</f>
        <v>8988</v>
      </c>
      <c r="M134" s="1">
        <v>8988</v>
      </c>
      <c r="N134" t="s">
        <v>415</v>
      </c>
      <c r="S134">
        <v>80668</v>
      </c>
      <c r="T134" t="s">
        <v>358</v>
      </c>
    </row>
    <row r="135" spans="1:20" x14ac:dyDescent="0.25">
      <c r="A135" s="1" t="s">
        <v>160</v>
      </c>
      <c r="B135" s="1" t="s">
        <v>159</v>
      </c>
      <c r="C135" s="1" t="s">
        <v>7</v>
      </c>
      <c r="D135" s="1" t="s">
        <v>202</v>
      </c>
      <c r="E135" s="1" t="s">
        <v>267</v>
      </c>
      <c r="F135" s="1" t="s">
        <v>158</v>
      </c>
      <c r="G135" s="1" t="s">
        <v>140</v>
      </c>
      <c r="I135">
        <f>FIND(" UD",Changed_Type[[#This Row],[Column7]])</f>
        <v>8</v>
      </c>
      <c r="J135" t="str">
        <f>MID(Changed_Type[[#This Row],[Column7]],2,I135-4)</f>
        <v>9003</v>
      </c>
      <c r="M135" s="1">
        <v>9003</v>
      </c>
      <c r="N135" t="s">
        <v>416</v>
      </c>
      <c r="S135">
        <v>81730</v>
      </c>
      <c r="T135" t="s">
        <v>284</v>
      </c>
    </row>
    <row r="136" spans="1:20" x14ac:dyDescent="0.25">
      <c r="A136" s="1" t="s">
        <v>160</v>
      </c>
      <c r="B136" s="1" t="s">
        <v>159</v>
      </c>
      <c r="C136" s="1" t="s">
        <v>7</v>
      </c>
      <c r="D136" s="1" t="s">
        <v>202</v>
      </c>
      <c r="E136" s="1" t="s">
        <v>268</v>
      </c>
      <c r="F136" s="1" t="s">
        <v>158</v>
      </c>
      <c r="G136" s="1" t="s">
        <v>141</v>
      </c>
      <c r="I136">
        <f>FIND(" UD",Changed_Type[[#This Row],[Column7]])</f>
        <v>8</v>
      </c>
      <c r="J136" t="str">
        <f>MID(Changed_Type[[#This Row],[Column7]],2,I136-4)</f>
        <v>9006</v>
      </c>
      <c r="M136" s="1">
        <v>9006</v>
      </c>
      <c r="N136" t="s">
        <v>417</v>
      </c>
      <c r="S136">
        <v>81730</v>
      </c>
      <c r="T136" t="s">
        <v>359</v>
      </c>
    </row>
    <row r="137" spans="1:20" x14ac:dyDescent="0.25">
      <c r="A137" s="1" t="s">
        <v>160</v>
      </c>
      <c r="B137" s="1" t="s">
        <v>159</v>
      </c>
      <c r="C137" s="1" t="s">
        <v>7</v>
      </c>
      <c r="D137" s="1" t="s">
        <v>171</v>
      </c>
      <c r="E137" s="1" t="s">
        <v>269</v>
      </c>
      <c r="F137" s="1" t="s">
        <v>158</v>
      </c>
      <c r="G137" s="1" t="s">
        <v>142</v>
      </c>
      <c r="I137">
        <f>FIND(" UD",Changed_Type[[#This Row],[Column7]])</f>
        <v>8</v>
      </c>
      <c r="J137" t="str">
        <f>MID(Changed_Type[[#This Row],[Column7]],2,I137-4)</f>
        <v>9013</v>
      </c>
      <c r="M137" s="1">
        <v>9013</v>
      </c>
      <c r="N137" t="s">
        <v>418</v>
      </c>
      <c r="S137">
        <v>82336</v>
      </c>
      <c r="T137" t="s">
        <v>285</v>
      </c>
    </row>
    <row r="138" spans="1:20" x14ac:dyDescent="0.25">
      <c r="A138" s="1" t="s">
        <v>160</v>
      </c>
      <c r="B138" s="1" t="s">
        <v>159</v>
      </c>
      <c r="C138" s="1" t="s">
        <v>7</v>
      </c>
      <c r="D138" s="1" t="s">
        <v>171</v>
      </c>
      <c r="E138" s="1" t="s">
        <v>270</v>
      </c>
      <c r="F138" s="1" t="s">
        <v>158</v>
      </c>
      <c r="G138" s="1" t="s">
        <v>143</v>
      </c>
      <c r="I138">
        <f>FIND(" UD",Changed_Type[[#This Row],[Column7]])</f>
        <v>8</v>
      </c>
      <c r="J138" t="str">
        <f>MID(Changed_Type[[#This Row],[Column7]],2,I138-4)</f>
        <v>9014</v>
      </c>
      <c r="M138" s="1">
        <v>9014</v>
      </c>
      <c r="N138" t="s">
        <v>419</v>
      </c>
      <c r="S138">
        <v>82336</v>
      </c>
      <c r="T138" t="s">
        <v>360</v>
      </c>
    </row>
    <row r="139" spans="1:20" x14ac:dyDescent="0.25">
      <c r="A139" s="1" t="s">
        <v>160</v>
      </c>
      <c r="B139" s="1" t="s">
        <v>159</v>
      </c>
      <c r="C139" s="1" t="s">
        <v>7</v>
      </c>
      <c r="D139" s="1" t="s">
        <v>171</v>
      </c>
      <c r="E139" s="1" t="s">
        <v>271</v>
      </c>
      <c r="F139" s="1" t="s">
        <v>158</v>
      </c>
      <c r="G139" s="1" t="s">
        <v>144</v>
      </c>
      <c r="I139">
        <f>FIND(" UD",Changed_Type[[#This Row],[Column7]])</f>
        <v>8</v>
      </c>
      <c r="J139" t="str">
        <f>MID(Changed_Type[[#This Row],[Column7]],2,I139-4)</f>
        <v>9031</v>
      </c>
      <c r="M139" s="1">
        <v>9031</v>
      </c>
      <c r="N139" t="s">
        <v>420</v>
      </c>
      <c r="S139" s="2">
        <v>82929</v>
      </c>
      <c r="T139" s="2" t="s">
        <v>286</v>
      </c>
    </row>
    <row r="140" spans="1:20" x14ac:dyDescent="0.25">
      <c r="A140" s="1" t="s">
        <v>160</v>
      </c>
      <c r="B140" s="1" t="s">
        <v>159</v>
      </c>
      <c r="C140" s="1" t="s">
        <v>7</v>
      </c>
      <c r="D140" s="1" t="s">
        <v>171</v>
      </c>
      <c r="E140" s="1" t="s">
        <v>272</v>
      </c>
      <c r="F140" s="1" t="s">
        <v>158</v>
      </c>
      <c r="G140" s="1" t="s">
        <v>145</v>
      </c>
      <c r="I140">
        <f>FIND(" UD",Changed_Type[[#This Row],[Column7]])</f>
        <v>8</v>
      </c>
      <c r="J140" t="str">
        <f>MID(Changed_Type[[#This Row],[Column7]],2,I140-4)</f>
        <v>9032</v>
      </c>
      <c r="M140" s="1">
        <v>9032</v>
      </c>
      <c r="N140" t="s">
        <v>421</v>
      </c>
      <c r="S140">
        <v>83123</v>
      </c>
      <c r="T140" t="s">
        <v>287</v>
      </c>
    </row>
    <row r="141" spans="1:20" x14ac:dyDescent="0.25">
      <c r="A141" s="1" t="s">
        <v>160</v>
      </c>
      <c r="B141" s="1" t="s">
        <v>159</v>
      </c>
      <c r="C141" s="1" t="s">
        <v>7</v>
      </c>
      <c r="D141" s="1" t="s">
        <v>171</v>
      </c>
      <c r="E141" s="1" t="s">
        <v>273</v>
      </c>
      <c r="F141" s="1" t="s">
        <v>158</v>
      </c>
      <c r="G141" s="1" t="s">
        <v>146</v>
      </c>
      <c r="I141">
        <f>FIND(" UD",Changed_Type[[#This Row],[Column7]])</f>
        <v>8</v>
      </c>
      <c r="J141" t="str">
        <f>MID(Changed_Type[[#This Row],[Column7]],2,I141-4)</f>
        <v>9048</v>
      </c>
      <c r="M141" s="1">
        <v>9048</v>
      </c>
      <c r="N141" t="s">
        <v>422</v>
      </c>
      <c r="S141">
        <v>83123</v>
      </c>
      <c r="T141" t="s">
        <v>361</v>
      </c>
    </row>
    <row r="142" spans="1:20" x14ac:dyDescent="0.25">
      <c r="A142" s="1" t="s">
        <v>160</v>
      </c>
      <c r="B142" s="1" t="s">
        <v>159</v>
      </c>
      <c r="C142" s="1" t="s">
        <v>7</v>
      </c>
      <c r="D142" s="1" t="s">
        <v>173</v>
      </c>
      <c r="E142" s="1" t="s">
        <v>274</v>
      </c>
      <c r="F142" s="1" t="s">
        <v>158</v>
      </c>
      <c r="G142" s="1" t="s">
        <v>147</v>
      </c>
      <c r="I142">
        <f>FIND(" UD",Changed_Type[[#This Row],[Column7]])</f>
        <v>8</v>
      </c>
      <c r="J142" t="str">
        <f>MID(Changed_Type[[#This Row],[Column7]],2,I142-4)</f>
        <v>9074</v>
      </c>
      <c r="M142" s="1">
        <v>9074</v>
      </c>
      <c r="N142" t="s">
        <v>423</v>
      </c>
      <c r="S142">
        <v>83428</v>
      </c>
      <c r="T142" t="s">
        <v>288</v>
      </c>
    </row>
    <row r="143" spans="1:20" x14ac:dyDescent="0.25">
      <c r="A143" s="1" t="s">
        <v>160</v>
      </c>
      <c r="B143" s="1" t="s">
        <v>159</v>
      </c>
      <c r="C143" s="1" t="s">
        <v>7</v>
      </c>
      <c r="D143" s="1" t="s">
        <v>173</v>
      </c>
      <c r="E143" s="1" t="s">
        <v>275</v>
      </c>
      <c r="F143" s="1" t="s">
        <v>158</v>
      </c>
      <c r="G143" s="1" t="s">
        <v>148</v>
      </c>
      <c r="I143">
        <f>FIND(" UD",Changed_Type[[#This Row],[Column7]])</f>
        <v>8</v>
      </c>
      <c r="J143" t="str">
        <f>MID(Changed_Type[[#This Row],[Column7]],2,I143-4)</f>
        <v>9091</v>
      </c>
      <c r="M143" s="1">
        <v>9091</v>
      </c>
      <c r="N143" t="s">
        <v>424</v>
      </c>
      <c r="S143">
        <v>83428</v>
      </c>
      <c r="T143" t="s">
        <v>363</v>
      </c>
    </row>
    <row r="144" spans="1:20" x14ac:dyDescent="0.25">
      <c r="A144" s="1" t="s">
        <v>160</v>
      </c>
      <c r="B144" s="1" t="s">
        <v>159</v>
      </c>
      <c r="C144" s="1" t="s">
        <v>7</v>
      </c>
      <c r="D144" s="1" t="s">
        <v>173</v>
      </c>
      <c r="E144" s="1" t="s">
        <v>276</v>
      </c>
      <c r="F144" s="1" t="s">
        <v>158</v>
      </c>
      <c r="G144" s="1" t="s">
        <v>149</v>
      </c>
      <c r="I144">
        <f>FIND(" UD",Changed_Type[[#This Row],[Column7]])</f>
        <v>8</v>
      </c>
      <c r="J144" t="str">
        <f>MID(Changed_Type[[#This Row],[Column7]],2,I144-4)</f>
        <v>9092</v>
      </c>
      <c r="M144" s="1">
        <v>9092</v>
      </c>
      <c r="N144" t="s">
        <v>425</v>
      </c>
      <c r="S144">
        <v>83876</v>
      </c>
      <c r="T144" t="s">
        <v>289</v>
      </c>
    </row>
    <row r="145" spans="1:20" x14ac:dyDescent="0.25">
      <c r="A145" s="1" t="s">
        <v>160</v>
      </c>
      <c r="B145" s="1" t="s">
        <v>159</v>
      </c>
      <c r="C145" s="1" t="s">
        <v>7</v>
      </c>
      <c r="D145" s="1" t="s">
        <v>206</v>
      </c>
      <c r="E145" s="1" t="s">
        <v>277</v>
      </c>
      <c r="F145" s="1" t="s">
        <v>158</v>
      </c>
      <c r="G145" s="1" t="s">
        <v>150</v>
      </c>
      <c r="I145">
        <f>FIND(" UD",Changed_Type[[#This Row],[Column7]])</f>
        <v>8</v>
      </c>
      <c r="J145" t="str">
        <f>MID(Changed_Type[[#This Row],[Column7]],2,I145-4)</f>
        <v>9099</v>
      </c>
      <c r="M145" s="1">
        <v>9099</v>
      </c>
      <c r="N145" t="s">
        <v>426</v>
      </c>
      <c r="S145">
        <v>83876</v>
      </c>
      <c r="T145" t="s">
        <v>364</v>
      </c>
    </row>
    <row r="146" spans="1:20" x14ac:dyDescent="0.25">
      <c r="A146" s="1" t="s">
        <v>160</v>
      </c>
      <c r="B146" s="1" t="s">
        <v>159</v>
      </c>
      <c r="C146" s="1" t="s">
        <v>7</v>
      </c>
      <c r="D146" s="1" t="s">
        <v>173</v>
      </c>
      <c r="E146" s="1" t="s">
        <v>278</v>
      </c>
      <c r="F146" s="1" t="s">
        <v>158</v>
      </c>
      <c r="G146" s="1" t="s">
        <v>151</v>
      </c>
      <c r="I146">
        <f>FIND(" UD",Changed_Type[[#This Row],[Column7]])</f>
        <v>8</v>
      </c>
      <c r="J146" t="str">
        <f>MID(Changed_Type[[#This Row],[Column7]],2,I146-4)</f>
        <v>9100</v>
      </c>
      <c r="M146" s="1">
        <v>9100</v>
      </c>
      <c r="N146" t="s">
        <v>427</v>
      </c>
      <c r="S146">
        <v>84409</v>
      </c>
      <c r="T146" t="s">
        <v>290</v>
      </c>
    </row>
    <row r="147" spans="1:20" x14ac:dyDescent="0.25">
      <c r="A147" s="1" t="s">
        <v>160</v>
      </c>
      <c r="B147" s="1" t="s">
        <v>159</v>
      </c>
      <c r="C147" s="1" t="s">
        <v>7</v>
      </c>
      <c r="D147" s="1" t="s">
        <v>173</v>
      </c>
      <c r="E147" s="1" t="s">
        <v>279</v>
      </c>
      <c r="F147" s="1" t="s">
        <v>158</v>
      </c>
      <c r="G147" s="1" t="s">
        <v>152</v>
      </c>
      <c r="I147">
        <f>FIND(" UD",Changed_Type[[#This Row],[Column7]])</f>
        <v>8</v>
      </c>
      <c r="J147" t="str">
        <f>MID(Changed_Type[[#This Row],[Column7]],2,I147-4)</f>
        <v>9101</v>
      </c>
      <c r="M147" s="1">
        <v>9101</v>
      </c>
      <c r="N147" t="s">
        <v>428</v>
      </c>
      <c r="S147">
        <v>84409</v>
      </c>
      <c r="T147" t="s">
        <v>365</v>
      </c>
    </row>
    <row r="148" spans="1:20" x14ac:dyDescent="0.25">
      <c r="A148" s="1" t="s">
        <v>160</v>
      </c>
      <c r="B148" s="1" t="s">
        <v>159</v>
      </c>
      <c r="C148" s="1" t="s">
        <v>7</v>
      </c>
      <c r="D148" s="1" t="s">
        <v>208</v>
      </c>
      <c r="E148" s="1" t="s">
        <v>280</v>
      </c>
      <c r="F148" s="1" t="s">
        <v>158</v>
      </c>
      <c r="G148" s="1" t="s">
        <v>153</v>
      </c>
      <c r="I148">
        <f>FIND(" UD",Changed_Type[[#This Row],[Column7]])</f>
        <v>8</v>
      </c>
      <c r="J148" t="str">
        <f>MID(Changed_Type[[#This Row],[Column7]],2,I148-4)</f>
        <v>9121</v>
      </c>
      <c r="M148" s="1">
        <v>9121</v>
      </c>
      <c r="N148" t="s">
        <v>429</v>
      </c>
      <c r="S148" s="2">
        <v>85098</v>
      </c>
      <c r="T148" s="2" t="s">
        <v>291</v>
      </c>
    </row>
    <row r="149" spans="1:20" x14ac:dyDescent="0.25">
      <c r="A149" s="1" t="s">
        <v>160</v>
      </c>
      <c r="B149" s="1" t="s">
        <v>159</v>
      </c>
      <c r="C149" s="1" t="s">
        <v>7</v>
      </c>
      <c r="D149" s="1" t="s">
        <v>208</v>
      </c>
      <c r="E149" s="1" t="s">
        <v>281</v>
      </c>
      <c r="F149" s="1" t="s">
        <v>158</v>
      </c>
      <c r="G149" s="1" t="s">
        <v>154</v>
      </c>
      <c r="I149">
        <f>FIND(" UD",Changed_Type[[#This Row],[Column7]])</f>
        <v>8</v>
      </c>
      <c r="J149" t="str">
        <f>MID(Changed_Type[[#This Row],[Column7]],2,I149-4)</f>
        <v>9140</v>
      </c>
      <c r="M149" s="1">
        <v>9140</v>
      </c>
      <c r="N149" t="s">
        <v>430</v>
      </c>
      <c r="S149">
        <v>85734</v>
      </c>
      <c r="T149" t="s">
        <v>292</v>
      </c>
    </row>
    <row r="150" spans="1:20" x14ac:dyDescent="0.25">
      <c r="A150" s="1" t="s">
        <v>160</v>
      </c>
      <c r="B150" s="1" t="s">
        <v>159</v>
      </c>
      <c r="C150" s="1" t="s">
        <v>7</v>
      </c>
      <c r="D150" s="1" t="s">
        <v>208</v>
      </c>
      <c r="E150" s="1" t="s">
        <v>282</v>
      </c>
      <c r="F150" s="1" t="s">
        <v>158</v>
      </c>
      <c r="G150" s="1" t="s">
        <v>155</v>
      </c>
      <c r="I150">
        <f>FIND(" UD",Changed_Type[[#This Row],[Column7]])</f>
        <v>8</v>
      </c>
      <c r="J150" t="str">
        <f>MID(Changed_Type[[#This Row],[Column7]],2,I150-4)</f>
        <v>9141</v>
      </c>
      <c r="M150" s="1">
        <v>9141</v>
      </c>
      <c r="N150" t="s">
        <v>431</v>
      </c>
      <c r="S150">
        <v>85734</v>
      </c>
      <c r="T150" t="s">
        <v>366</v>
      </c>
    </row>
    <row r="151" spans="1:20" x14ac:dyDescent="0.25">
      <c r="B151" t="s">
        <v>156</v>
      </c>
      <c r="G151">
        <f>SUBTOTAL(103,Changed_Type[Column7])</f>
        <v>149</v>
      </c>
    </row>
    <row r="153" spans="1:20" x14ac:dyDescent="0.25">
      <c r="I153" t="s">
        <v>432</v>
      </c>
      <c r="J153" s="1">
        <v>75</v>
      </c>
      <c r="L153" t="s">
        <v>433</v>
      </c>
    </row>
    <row r="154" spans="1:20" x14ac:dyDescent="0.25">
      <c r="I154" t="s">
        <v>157</v>
      </c>
      <c r="J154">
        <v>74</v>
      </c>
      <c r="L154" t="s">
        <v>434</v>
      </c>
    </row>
    <row r="155" spans="1:20" x14ac:dyDescent="0.25">
      <c r="J155">
        <f>SUM(J153:J154)</f>
        <v>149</v>
      </c>
    </row>
  </sheetData>
  <sortState xmlns:xlrd2="http://schemas.microsoft.com/office/spreadsheetml/2017/richdata2" ref="V2:W8">
    <sortCondition ref="W2:W8"/>
  </sortState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9FEE0-955F-4933-9CAC-7170B15AE00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F5546F-D79A-4FE7-AAA9-DF7F592C28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</vt:lpstr>
      <vt:lpstr>Sheet1</vt:lpstr>
    </vt:vector>
  </TitlesOfParts>
  <Company>City of Palm Coast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LaDuke</dc:creator>
  <cp:lastModifiedBy>John LaDuke</cp:lastModifiedBy>
  <dcterms:created xsi:type="dcterms:W3CDTF">2026-04-29T18:23:33Z</dcterms:created>
  <dcterms:modified xsi:type="dcterms:W3CDTF">2026-04-29T19:41:56Z</dcterms:modified>
</cp:coreProperties>
</file>